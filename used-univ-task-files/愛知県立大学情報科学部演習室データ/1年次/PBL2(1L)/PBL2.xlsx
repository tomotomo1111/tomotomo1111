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ownloads\"/>
    </mc:Choice>
  </mc:AlternateContent>
  <bookViews>
    <workbookView xWindow="0" yWindow="0" windowWidth="23040" windowHeight="9096" activeTab="7"/>
  </bookViews>
  <sheets>
    <sheet name="Iパス" sheetId="1" r:id="rId1"/>
    <sheet name="相対参照" sheetId="2" r:id="rId2"/>
    <sheet name="絶対参照" sheetId="3" r:id="rId3"/>
    <sheet name="絶対参照Iパス" sheetId="4" r:id="rId4"/>
    <sheet name="参照と関数のIパス" sheetId="5" r:id="rId5"/>
    <sheet name="条件分岐" sheetId="6" r:id="rId6"/>
    <sheet name="会員数" sheetId="7" r:id="rId7"/>
    <sheet name="売上評価" sheetId="8" r:id="rId8"/>
    <sheet name="演習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8" l="1"/>
  <c r="C3" i="7"/>
  <c r="C2" i="7"/>
  <c r="D3" i="6"/>
  <c r="D4" i="6"/>
  <c r="D5" i="6"/>
  <c r="C4" i="5"/>
  <c r="C5" i="5"/>
  <c r="C6" i="5"/>
  <c r="C7" i="5"/>
  <c r="E5" i="4"/>
  <c r="E6" i="4"/>
  <c r="E4" i="4"/>
  <c r="E3" i="3"/>
  <c r="E4" i="3"/>
  <c r="E2" i="3"/>
  <c r="B1" i="1"/>
  <c r="G6" i="9" l="1"/>
  <c r="G7" i="9"/>
  <c r="J7" i="9" s="1"/>
  <c r="G8" i="9"/>
  <c r="G9" i="9"/>
  <c r="G10" i="9"/>
  <c r="G11" i="9"/>
  <c r="J11" i="9" s="1"/>
  <c r="G12" i="9"/>
  <c r="G13" i="9"/>
  <c r="J13" i="9" s="1"/>
  <c r="G14" i="9"/>
  <c r="J14" i="9" s="1"/>
  <c r="G5" i="9"/>
  <c r="J8" i="9"/>
  <c r="J9" i="9"/>
  <c r="J10" i="9"/>
  <c r="J12" i="9"/>
  <c r="I24" i="9"/>
  <c r="I23" i="9"/>
  <c r="J6" i="9"/>
  <c r="J5" i="9"/>
  <c r="I6" i="9"/>
  <c r="I7" i="9"/>
  <c r="I8" i="9"/>
  <c r="I9" i="9"/>
  <c r="I10" i="9"/>
  <c r="I11" i="9"/>
  <c r="I12" i="9"/>
  <c r="I13" i="9"/>
  <c r="I14" i="9"/>
  <c r="I5" i="9"/>
  <c r="C16" i="9"/>
  <c r="D16" i="9"/>
  <c r="E16" i="9"/>
  <c r="H5" i="9"/>
  <c r="H6" i="9"/>
  <c r="H7" i="9"/>
  <c r="H8" i="9"/>
  <c r="H9" i="9"/>
  <c r="H10" i="9"/>
  <c r="H11" i="9"/>
  <c r="H12" i="9"/>
  <c r="H13" i="9"/>
  <c r="F5" i="9"/>
  <c r="F6" i="9"/>
  <c r="F7" i="9"/>
  <c r="F8" i="9"/>
  <c r="F9" i="9"/>
  <c r="F10" i="9"/>
  <c r="F11" i="9"/>
  <c r="F12" i="9"/>
  <c r="F13" i="9"/>
  <c r="E19" i="9" l="1"/>
  <c r="D19" i="9"/>
  <c r="C19" i="9"/>
  <c r="D18" i="9"/>
  <c r="E18" i="9"/>
  <c r="C18" i="9"/>
  <c r="D17" i="9"/>
  <c r="E17" i="9"/>
  <c r="C17" i="9"/>
  <c r="E15" i="9"/>
  <c r="D15" i="9"/>
  <c r="C15" i="9"/>
  <c r="H14" i="9"/>
  <c r="D3" i="2"/>
  <c r="D4" i="2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3" i="8"/>
  <c r="C4" i="7"/>
  <c r="D24" i="9" l="1"/>
  <c r="D23" i="9"/>
  <c r="F14" i="9"/>
  <c r="G19" i="8" l="1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D2" i="6" l="1"/>
  <c r="C3" i="5"/>
  <c r="D3" i="3"/>
  <c r="D4" i="3"/>
  <c r="D2" i="3"/>
  <c r="C6" i="3" s="1"/>
  <c r="C6" i="2"/>
  <c r="D2" i="2"/>
  <c r="A2" i="1"/>
  <c r="A3" i="1" s="1"/>
  <c r="B2" i="1" l="1"/>
  <c r="B3" i="1" s="1"/>
</calcChain>
</file>

<file path=xl/sharedStrings.xml><?xml version="1.0" encoding="utf-8"?>
<sst xmlns="http://schemas.openxmlformats.org/spreadsheetml/2006/main" count="219" uniqueCount="176">
  <si>
    <t>品名</t>
    <rPh sb="0" eb="2">
      <t>ヒンメイ</t>
    </rPh>
    <phoneticPr fontId="2"/>
  </si>
  <si>
    <t>単価</t>
    <rPh sb="0" eb="2">
      <t>タンカ</t>
    </rPh>
    <phoneticPr fontId="2"/>
  </si>
  <si>
    <t>個数</t>
    <rPh sb="0" eb="2">
      <t>コスウ</t>
    </rPh>
    <phoneticPr fontId="2"/>
  </si>
  <si>
    <t>合計</t>
    <rPh sb="0" eb="2">
      <t>ゴウケイ</t>
    </rPh>
    <phoneticPr fontId="2"/>
  </si>
  <si>
    <t>コロッケ</t>
    <phoneticPr fontId="2"/>
  </si>
  <si>
    <t>サラダ</t>
    <phoneticPr fontId="2"/>
  </si>
  <si>
    <t>味噌汁</t>
    <rPh sb="0" eb="3">
      <t>ミソシル</t>
    </rPh>
    <phoneticPr fontId="2"/>
  </si>
  <si>
    <t>総額は</t>
    <rPh sb="0" eb="2">
      <t>ソウガク</t>
    </rPh>
    <phoneticPr fontId="2"/>
  </si>
  <si>
    <t>です．</t>
    <phoneticPr fontId="2"/>
  </si>
  <si>
    <t>割合</t>
    <rPh sb="0" eb="2">
      <t>ワリアイ</t>
    </rPh>
    <phoneticPr fontId="2"/>
  </si>
  <si>
    <t>天気</t>
    <rPh sb="0" eb="2">
      <t>テンキ</t>
    </rPh>
    <phoneticPr fontId="2"/>
  </si>
  <si>
    <t>晴れ</t>
    <rPh sb="0" eb="1">
      <t>ハ</t>
    </rPh>
    <phoneticPr fontId="2"/>
  </si>
  <si>
    <t>曇り</t>
    <rPh sb="0" eb="1">
      <t>クモ</t>
    </rPh>
    <phoneticPr fontId="2"/>
  </si>
  <si>
    <t>雨</t>
    <rPh sb="0" eb="1">
      <t>アメ</t>
    </rPh>
    <phoneticPr fontId="2"/>
  </si>
  <si>
    <t>確率</t>
    <rPh sb="0" eb="2">
      <t>カクリツ</t>
    </rPh>
    <phoneticPr fontId="2"/>
  </si>
  <si>
    <t>商品名</t>
    <rPh sb="0" eb="3">
      <t>ショウヒンメイ</t>
    </rPh>
    <phoneticPr fontId="2"/>
  </si>
  <si>
    <t>商品A</t>
    <rPh sb="0" eb="2">
      <t>ショウヒン</t>
    </rPh>
    <phoneticPr fontId="2"/>
  </si>
  <si>
    <t>商品B</t>
    <rPh sb="0" eb="2">
      <t>ショウヒン</t>
    </rPh>
    <phoneticPr fontId="2"/>
  </si>
  <si>
    <t>商品C</t>
    <rPh sb="0" eb="2">
      <t>ショウヒン</t>
    </rPh>
    <phoneticPr fontId="2"/>
  </si>
  <si>
    <t>晴れの日の売上予測額</t>
    <rPh sb="0" eb="1">
      <t>ハ</t>
    </rPh>
    <rPh sb="3" eb="4">
      <t>ヒ</t>
    </rPh>
    <rPh sb="5" eb="9">
      <t>ウリアゲヨソク</t>
    </rPh>
    <rPh sb="9" eb="10">
      <t>ガク</t>
    </rPh>
    <phoneticPr fontId="2"/>
  </si>
  <si>
    <t>曇りの日の売上予測額</t>
    <rPh sb="0" eb="1">
      <t>クモ</t>
    </rPh>
    <rPh sb="3" eb="4">
      <t>ヒ</t>
    </rPh>
    <rPh sb="5" eb="9">
      <t>ウリアゲヨソク</t>
    </rPh>
    <rPh sb="9" eb="10">
      <t>ガク</t>
    </rPh>
    <phoneticPr fontId="2"/>
  </si>
  <si>
    <t>雨の日の売上予測額</t>
    <rPh sb="0" eb="1">
      <t>アメ</t>
    </rPh>
    <rPh sb="2" eb="3">
      <t>ヒ</t>
    </rPh>
    <rPh sb="4" eb="8">
      <t>ウリアゲヨソク</t>
    </rPh>
    <rPh sb="8" eb="9">
      <t>ガク</t>
    </rPh>
    <phoneticPr fontId="2"/>
  </si>
  <si>
    <t>当日の売上予測額</t>
    <rPh sb="0" eb="2">
      <t>トウジツ</t>
    </rPh>
    <rPh sb="3" eb="7">
      <t>ウリアゲ</t>
    </rPh>
    <rPh sb="7" eb="8">
      <t>ガク</t>
    </rPh>
    <phoneticPr fontId="2"/>
  </si>
  <si>
    <t>単価</t>
    <rPh sb="0" eb="2">
      <t>タンカ</t>
    </rPh>
    <phoneticPr fontId="2"/>
  </si>
  <si>
    <t>月</t>
    <rPh sb="0" eb="1">
      <t>ツキ</t>
    </rPh>
    <phoneticPr fontId="2"/>
  </si>
  <si>
    <t>販売数</t>
    <rPh sb="0" eb="3">
      <t>ハンバイスウ</t>
    </rPh>
    <phoneticPr fontId="2"/>
  </si>
  <si>
    <t>計算結果</t>
    <rPh sb="0" eb="4">
      <t>ケイサンケッカ</t>
    </rPh>
    <phoneticPr fontId="2"/>
  </si>
  <si>
    <t>4月</t>
    <rPh sb="1" eb="2">
      <t>ガツ</t>
    </rPh>
    <phoneticPr fontId="2"/>
  </si>
  <si>
    <t>5月</t>
    <rPh sb="1" eb="2">
      <t>ガツ</t>
    </rPh>
    <phoneticPr fontId="2"/>
  </si>
  <si>
    <t>6月</t>
  </si>
  <si>
    <t>7月</t>
  </si>
  <si>
    <t>8月</t>
  </si>
  <si>
    <t>名前</t>
    <rPh sb="0" eb="2">
      <t>ナマエ</t>
    </rPh>
    <phoneticPr fontId="2"/>
  </si>
  <si>
    <t>売上目標</t>
    <rPh sb="0" eb="4">
      <t>ウリアゲモクヒョウ</t>
    </rPh>
    <phoneticPr fontId="2"/>
  </si>
  <si>
    <t>売上実績</t>
    <rPh sb="0" eb="4">
      <t>ウリアゲジッセキ</t>
    </rPh>
    <phoneticPr fontId="2"/>
  </si>
  <si>
    <t>田中一郎</t>
    <rPh sb="0" eb="2">
      <t>タナカ</t>
    </rPh>
    <rPh sb="2" eb="4">
      <t>イチロウ</t>
    </rPh>
    <phoneticPr fontId="2"/>
  </si>
  <si>
    <t>山本二郎</t>
    <rPh sb="0" eb="2">
      <t>ヤマモト</t>
    </rPh>
    <rPh sb="2" eb="4">
      <t>ジロウ</t>
    </rPh>
    <phoneticPr fontId="2"/>
  </si>
  <si>
    <t>佐藤三郎</t>
    <rPh sb="0" eb="2">
      <t>サトウ</t>
    </rPh>
    <rPh sb="2" eb="4">
      <t>サブロウ</t>
    </rPh>
    <phoneticPr fontId="2"/>
  </si>
  <si>
    <t>ウチのシロ</t>
    <phoneticPr fontId="2"/>
  </si>
  <si>
    <t>評価</t>
    <rPh sb="0" eb="2">
      <t>ヒョウカ</t>
    </rPh>
    <phoneticPr fontId="2"/>
  </si>
  <si>
    <t>カード会員リスト</t>
    <rPh sb="3" eb="5">
      <t>カイイン</t>
    </rPh>
    <phoneticPr fontId="7"/>
  </si>
  <si>
    <t>現在の会員数</t>
    <rPh sb="0" eb="2">
      <t>ゲンザイ</t>
    </rPh>
    <rPh sb="3" eb="6">
      <t>カイインスウ</t>
    </rPh>
    <phoneticPr fontId="9"/>
  </si>
  <si>
    <t>〔内訳〕</t>
    <rPh sb="1" eb="3">
      <t>ウチワケ</t>
    </rPh>
    <phoneticPr fontId="7"/>
  </si>
  <si>
    <t>一般会員</t>
    <rPh sb="0" eb="2">
      <t>イッパン</t>
    </rPh>
    <rPh sb="2" eb="4">
      <t>カイイン</t>
    </rPh>
    <phoneticPr fontId="7"/>
  </si>
  <si>
    <t>特別会員</t>
    <rPh sb="0" eb="2">
      <t>トクベツ</t>
    </rPh>
    <rPh sb="2" eb="4">
      <t>カイイン</t>
    </rPh>
    <phoneticPr fontId="7"/>
  </si>
  <si>
    <t>No.</t>
    <phoneticPr fontId="7"/>
  </si>
  <si>
    <t>氏名</t>
    <rPh sb="0" eb="2">
      <t>シメイ</t>
    </rPh>
    <phoneticPr fontId="9"/>
  </si>
  <si>
    <t>フリガナ</t>
    <phoneticPr fontId="7"/>
  </si>
  <si>
    <t>住所</t>
    <rPh sb="0" eb="2">
      <t>ジュウショ</t>
    </rPh>
    <phoneticPr fontId="9"/>
  </si>
  <si>
    <t>電話番号</t>
    <rPh sb="0" eb="2">
      <t>デンワ</t>
    </rPh>
    <rPh sb="2" eb="4">
      <t>バンゴウ</t>
    </rPh>
    <phoneticPr fontId="9"/>
  </si>
  <si>
    <t>会員種別</t>
    <rPh sb="0" eb="2">
      <t>カイイン</t>
    </rPh>
    <rPh sb="2" eb="4">
      <t>シュベツ</t>
    </rPh>
    <phoneticPr fontId="9"/>
  </si>
  <si>
    <t>田辺　美夏</t>
    <rPh sb="0" eb="2">
      <t>タナベ</t>
    </rPh>
    <rPh sb="3" eb="5">
      <t>ミカ</t>
    </rPh>
    <phoneticPr fontId="9"/>
  </si>
  <si>
    <t>北区上賀茂本町1-X</t>
    <rPh sb="0" eb="2">
      <t>キタク</t>
    </rPh>
    <rPh sb="2" eb="3">
      <t>カミ</t>
    </rPh>
    <rPh sb="3" eb="5">
      <t>ガモ</t>
    </rPh>
    <rPh sb="5" eb="7">
      <t>ホンチョウ</t>
    </rPh>
    <phoneticPr fontId="9"/>
  </si>
  <si>
    <t>075-735-XXXX</t>
    <phoneticPr fontId="7"/>
  </si>
  <si>
    <t>新谷　和夫</t>
    <rPh sb="0" eb="2">
      <t>シンタニ</t>
    </rPh>
    <rPh sb="3" eb="5">
      <t>カズオ</t>
    </rPh>
    <phoneticPr fontId="9"/>
  </si>
  <si>
    <t>左京区岡崎北御所町2-X</t>
    <rPh sb="0" eb="3">
      <t>サキョウク</t>
    </rPh>
    <rPh sb="3" eb="5">
      <t>オカザキ</t>
    </rPh>
    <rPh sb="5" eb="9">
      <t>キタゴショチョウ</t>
    </rPh>
    <phoneticPr fontId="9"/>
  </si>
  <si>
    <t>075-443-XXXX</t>
    <phoneticPr fontId="7"/>
  </si>
  <si>
    <t>渡部　里香</t>
    <rPh sb="0" eb="2">
      <t>ワタナベ</t>
    </rPh>
    <rPh sb="3" eb="5">
      <t>リカ</t>
    </rPh>
    <phoneticPr fontId="9"/>
  </si>
  <si>
    <t>伏見区桃山町5-X</t>
    <rPh sb="0" eb="3">
      <t>フシミク</t>
    </rPh>
    <rPh sb="3" eb="6">
      <t>モモヤマチョウ</t>
    </rPh>
    <phoneticPr fontId="9"/>
  </si>
  <si>
    <t>075-112-XXXX</t>
    <phoneticPr fontId="7"/>
  </si>
  <si>
    <t>岡田　まゆ</t>
    <rPh sb="0" eb="2">
      <t>オカダ</t>
    </rPh>
    <phoneticPr fontId="9"/>
  </si>
  <si>
    <t>東山区宮川筋2-X</t>
    <rPh sb="0" eb="3">
      <t>ヒガシヤマク</t>
    </rPh>
    <rPh sb="3" eb="5">
      <t>ミヤカワ</t>
    </rPh>
    <rPh sb="5" eb="6">
      <t>スジ</t>
    </rPh>
    <phoneticPr fontId="9"/>
  </si>
  <si>
    <t>075-524-XXXX</t>
    <phoneticPr fontId="7"/>
  </si>
  <si>
    <t>片山　依子</t>
    <rPh sb="0" eb="2">
      <t>カタヤマ</t>
    </rPh>
    <rPh sb="3" eb="5">
      <t>ヨリコ</t>
    </rPh>
    <phoneticPr fontId="9"/>
  </si>
  <si>
    <t>中京区鴨川二条3-1-X</t>
    <rPh sb="0" eb="3">
      <t>ナカギョウク</t>
    </rPh>
    <rPh sb="3" eb="5">
      <t>カモガワ</t>
    </rPh>
    <rPh sb="5" eb="7">
      <t>ニジョウ</t>
    </rPh>
    <phoneticPr fontId="9"/>
  </si>
  <si>
    <t>075-428-XXXX</t>
    <phoneticPr fontId="7"/>
  </si>
  <si>
    <t>浦上　京子</t>
    <rPh sb="0" eb="2">
      <t>ウラガミ</t>
    </rPh>
    <rPh sb="3" eb="5">
      <t>キョウコ</t>
    </rPh>
    <phoneticPr fontId="9"/>
  </si>
  <si>
    <t>下京区四条寺町X</t>
    <rPh sb="0" eb="3">
      <t>シモギョウク</t>
    </rPh>
    <rPh sb="3" eb="5">
      <t>シジョウ</t>
    </rPh>
    <rPh sb="5" eb="7">
      <t>テラマチ</t>
    </rPh>
    <phoneticPr fontId="9"/>
  </si>
  <si>
    <t>075-253-XXXX</t>
    <phoneticPr fontId="7"/>
  </si>
  <si>
    <t>上島　聡里</t>
    <rPh sb="0" eb="2">
      <t>ウエシマ</t>
    </rPh>
    <rPh sb="3" eb="5">
      <t>サトリ</t>
    </rPh>
    <phoneticPr fontId="9"/>
  </si>
  <si>
    <t>左京区白川通り清水町 2-3-X</t>
    <rPh sb="0" eb="3">
      <t>サキョウク</t>
    </rPh>
    <rPh sb="3" eb="5">
      <t>シラカワ</t>
    </rPh>
    <rPh sb="5" eb="6">
      <t>ドオ</t>
    </rPh>
    <rPh sb="7" eb="10">
      <t>キヨミズチョウ</t>
    </rPh>
    <phoneticPr fontId="9"/>
  </si>
  <si>
    <t>075-587-XXXX</t>
    <phoneticPr fontId="7"/>
  </si>
  <si>
    <t>井上　愛</t>
    <rPh sb="0" eb="2">
      <t>イノウエ</t>
    </rPh>
    <rPh sb="3" eb="4">
      <t>アイ</t>
    </rPh>
    <phoneticPr fontId="9"/>
  </si>
  <si>
    <t>北区堀川通北大路下ル2-5-X</t>
    <rPh sb="0" eb="2">
      <t>キタク</t>
    </rPh>
    <rPh sb="2" eb="4">
      <t>ホリカワ</t>
    </rPh>
    <rPh sb="4" eb="5">
      <t>ドオリ</t>
    </rPh>
    <rPh sb="5" eb="8">
      <t>キタオオジ</t>
    </rPh>
    <rPh sb="8" eb="9">
      <t>サガ</t>
    </rPh>
    <phoneticPr fontId="9"/>
  </si>
  <si>
    <t>075-533-XXXX</t>
    <phoneticPr fontId="7"/>
  </si>
  <si>
    <t>山口　純菜</t>
    <rPh sb="0" eb="2">
      <t>ヤマグチ</t>
    </rPh>
    <rPh sb="3" eb="4">
      <t>ジュン</t>
    </rPh>
    <rPh sb="4" eb="5">
      <t>ナ</t>
    </rPh>
    <phoneticPr fontId="9"/>
  </si>
  <si>
    <t>伏見区深草西浦町3-X</t>
    <rPh sb="0" eb="3">
      <t>フシミク</t>
    </rPh>
    <rPh sb="3" eb="5">
      <t>フカクサ</t>
    </rPh>
    <rPh sb="5" eb="7">
      <t>ニシウラ</t>
    </rPh>
    <rPh sb="7" eb="8">
      <t>マチ</t>
    </rPh>
    <phoneticPr fontId="9"/>
  </si>
  <si>
    <t>075-422-XXXX</t>
    <phoneticPr fontId="7"/>
  </si>
  <si>
    <t>宮本　さゆり</t>
    <rPh sb="0" eb="2">
      <t>ミヤモト</t>
    </rPh>
    <phoneticPr fontId="9"/>
  </si>
  <si>
    <t>下京区新町通2-3-X</t>
    <rPh sb="0" eb="3">
      <t>シモギョウク</t>
    </rPh>
    <rPh sb="3" eb="5">
      <t>シンマチ</t>
    </rPh>
    <rPh sb="5" eb="6">
      <t>ドオリ</t>
    </rPh>
    <phoneticPr fontId="9"/>
  </si>
  <si>
    <t>075-663-XXXX</t>
    <phoneticPr fontId="7"/>
  </si>
  <si>
    <t>木村　聡</t>
    <rPh sb="0" eb="2">
      <t>キムラ</t>
    </rPh>
    <rPh sb="3" eb="4">
      <t>サトシ</t>
    </rPh>
    <phoneticPr fontId="9"/>
  </si>
  <si>
    <t>下京区烏丸塩小路下ル3-X</t>
    <rPh sb="0" eb="3">
      <t>シモギョウク</t>
    </rPh>
    <rPh sb="3" eb="5">
      <t>カラスマ</t>
    </rPh>
    <rPh sb="5" eb="6">
      <t>シオ</t>
    </rPh>
    <rPh sb="6" eb="8">
      <t>コウジ</t>
    </rPh>
    <rPh sb="8" eb="9">
      <t>サガ</t>
    </rPh>
    <phoneticPr fontId="9"/>
  </si>
  <si>
    <t>075-668-XXXX</t>
    <phoneticPr fontId="7"/>
  </si>
  <si>
    <t>方　博美</t>
    <rPh sb="0" eb="1">
      <t>カタ</t>
    </rPh>
    <rPh sb="2" eb="4">
      <t>ヒロミ</t>
    </rPh>
    <phoneticPr fontId="9"/>
  </si>
  <si>
    <t>東山区大和大路通9-1-X</t>
    <rPh sb="0" eb="3">
      <t>ヒガシヤマク</t>
    </rPh>
    <rPh sb="3" eb="5">
      <t>ヤマト</t>
    </rPh>
    <rPh sb="5" eb="7">
      <t>オオジ</t>
    </rPh>
    <rPh sb="7" eb="8">
      <t>ドオリ</t>
    </rPh>
    <phoneticPr fontId="9"/>
  </si>
  <si>
    <t>075-731-XXXX</t>
    <phoneticPr fontId="7"/>
  </si>
  <si>
    <t>小野田　奈々</t>
    <rPh sb="0" eb="3">
      <t>オノダ</t>
    </rPh>
    <rPh sb="4" eb="6">
      <t>ナナ</t>
    </rPh>
    <phoneticPr fontId="9"/>
  </si>
  <si>
    <t>中京区三条木屋町1-X</t>
    <rPh sb="0" eb="3">
      <t>ナカギョウク</t>
    </rPh>
    <rPh sb="3" eb="5">
      <t>サンジョウ</t>
    </rPh>
    <rPh sb="5" eb="7">
      <t>キヤ</t>
    </rPh>
    <rPh sb="7" eb="8">
      <t>マチ</t>
    </rPh>
    <phoneticPr fontId="9"/>
  </si>
  <si>
    <t>075-211-XXXX</t>
    <phoneticPr fontId="7"/>
  </si>
  <si>
    <t>岩城　真澄</t>
    <rPh sb="0" eb="2">
      <t>イワキ</t>
    </rPh>
    <rPh sb="3" eb="5">
      <t>マスミ</t>
    </rPh>
    <phoneticPr fontId="9"/>
  </si>
  <si>
    <t>下京区川端町X</t>
    <rPh sb="0" eb="3">
      <t>シモギョウク</t>
    </rPh>
    <rPh sb="3" eb="5">
      <t>カワバタ</t>
    </rPh>
    <rPh sb="5" eb="6">
      <t>チョウ</t>
    </rPh>
    <phoneticPr fontId="9"/>
  </si>
  <si>
    <t>075-153-XXXX</t>
    <phoneticPr fontId="7"/>
  </si>
  <si>
    <t>小林　和子</t>
    <rPh sb="0" eb="2">
      <t>コバヤシ</t>
    </rPh>
    <rPh sb="3" eb="5">
      <t>カズコ</t>
    </rPh>
    <phoneticPr fontId="9"/>
  </si>
  <si>
    <t>伏見区向島庚申町5-X</t>
    <rPh sb="0" eb="3">
      <t>フシミク</t>
    </rPh>
    <rPh sb="3" eb="5">
      <t>ムカイシマ</t>
    </rPh>
    <rPh sb="5" eb="8">
      <t>コウシンチョウ</t>
    </rPh>
    <phoneticPr fontId="9"/>
  </si>
  <si>
    <t>075-987-XXXX</t>
    <phoneticPr fontId="7"/>
  </si>
  <si>
    <t>浅野　雅子</t>
    <rPh sb="0" eb="2">
      <t>アサノ</t>
    </rPh>
    <rPh sb="3" eb="5">
      <t>マサコ</t>
    </rPh>
    <phoneticPr fontId="9"/>
  </si>
  <si>
    <t>左京区田中大久保町X</t>
    <rPh sb="0" eb="3">
      <t>サキョウク</t>
    </rPh>
    <rPh sb="3" eb="5">
      <t>タナカ</t>
    </rPh>
    <rPh sb="5" eb="9">
      <t>オオクボチョウ</t>
    </rPh>
    <phoneticPr fontId="9"/>
  </si>
  <si>
    <t>075-312-XXXX</t>
    <phoneticPr fontId="7"/>
  </si>
  <si>
    <t>安達　あきら</t>
    <rPh sb="0" eb="2">
      <t>アダチ</t>
    </rPh>
    <phoneticPr fontId="9"/>
  </si>
  <si>
    <t>中京区東木屋町4-3-X</t>
    <rPh sb="0" eb="3">
      <t>ナカギョウク</t>
    </rPh>
    <rPh sb="3" eb="4">
      <t>ヒガシ</t>
    </rPh>
    <rPh sb="4" eb="7">
      <t>キヤマチ</t>
    </rPh>
    <phoneticPr fontId="9"/>
  </si>
  <si>
    <t>075-424-XXXX</t>
    <phoneticPr fontId="7"/>
  </si>
  <si>
    <t>今村　圭子</t>
    <rPh sb="0" eb="2">
      <t>イマムラ</t>
    </rPh>
    <rPh sb="3" eb="5">
      <t>ケイコ</t>
    </rPh>
    <phoneticPr fontId="9"/>
  </si>
  <si>
    <t>東山区本町5-X</t>
    <rPh sb="0" eb="3">
      <t>ヒガシヤマク</t>
    </rPh>
    <rPh sb="3" eb="5">
      <t>ホンマチ</t>
    </rPh>
    <phoneticPr fontId="9"/>
  </si>
  <si>
    <t>075-258-XXXX</t>
    <phoneticPr fontId="7"/>
  </si>
  <si>
    <t>松村　加奈</t>
    <rPh sb="0" eb="2">
      <t>マツムラ</t>
    </rPh>
    <rPh sb="3" eb="5">
      <t>カナ</t>
    </rPh>
    <phoneticPr fontId="9"/>
  </si>
  <si>
    <t>伏見区中島外山町X</t>
    <rPh sb="0" eb="3">
      <t>フシミク</t>
    </rPh>
    <rPh sb="3" eb="5">
      <t>ナカジマ</t>
    </rPh>
    <rPh sb="5" eb="7">
      <t>トヤマ</t>
    </rPh>
    <rPh sb="7" eb="8">
      <t>チョウ</t>
    </rPh>
    <phoneticPr fontId="9"/>
  </si>
  <si>
    <t>075-873-XXXX</t>
    <phoneticPr fontId="7"/>
  </si>
  <si>
    <t>村上　奈津</t>
    <rPh sb="0" eb="2">
      <t>ムラカミ</t>
    </rPh>
    <rPh sb="3" eb="5">
      <t>ナツ</t>
    </rPh>
    <phoneticPr fontId="9"/>
  </si>
  <si>
    <t>中京区御幸町5-X</t>
    <rPh sb="0" eb="3">
      <t>ナカギョウク</t>
    </rPh>
    <rPh sb="3" eb="5">
      <t>ゴコ</t>
    </rPh>
    <rPh sb="5" eb="6">
      <t>マチ</t>
    </rPh>
    <phoneticPr fontId="9"/>
  </si>
  <si>
    <t>075-332-XXXX</t>
    <phoneticPr fontId="7"/>
  </si>
  <si>
    <t>従業員売上評価</t>
    <rPh sb="0" eb="3">
      <t>ジュウギョウイン</t>
    </rPh>
    <rPh sb="3" eb="5">
      <t>ウリアゲ</t>
    </rPh>
    <rPh sb="5" eb="7">
      <t>ヒョウカ</t>
    </rPh>
    <phoneticPr fontId="9"/>
  </si>
  <si>
    <t>従業員No.</t>
    <rPh sb="0" eb="3">
      <t>ジュウギョウイン</t>
    </rPh>
    <phoneticPr fontId="9"/>
  </si>
  <si>
    <t>所属No.</t>
    <rPh sb="0" eb="2">
      <t>ショゾク</t>
    </rPh>
    <phoneticPr fontId="9"/>
  </si>
  <si>
    <t>所属名</t>
    <rPh sb="0" eb="2">
      <t>ショゾク</t>
    </rPh>
    <rPh sb="2" eb="3">
      <t>メイ</t>
    </rPh>
    <phoneticPr fontId="9"/>
  </si>
  <si>
    <t>上期（万円）</t>
    <rPh sb="0" eb="2">
      <t>カミキ</t>
    </rPh>
    <rPh sb="3" eb="5">
      <t>マンエン</t>
    </rPh>
    <phoneticPr fontId="12"/>
  </si>
  <si>
    <t>下期（万円）</t>
    <rPh sb="0" eb="2">
      <t>シモキ</t>
    </rPh>
    <rPh sb="3" eb="5">
      <t>マンエン</t>
    </rPh>
    <phoneticPr fontId="12"/>
  </si>
  <si>
    <t>合計（万円）</t>
    <rPh sb="0" eb="2">
      <t>ゴウケイ</t>
    </rPh>
    <rPh sb="3" eb="5">
      <t>マンエン</t>
    </rPh>
    <phoneticPr fontId="12"/>
  </si>
  <si>
    <t>評価1</t>
    <rPh sb="0" eb="2">
      <t>ヒョウカ</t>
    </rPh>
    <phoneticPr fontId="12"/>
  </si>
  <si>
    <t>評価2</t>
    <rPh sb="0" eb="2">
      <t>ヒョウカ</t>
    </rPh>
    <phoneticPr fontId="12"/>
  </si>
  <si>
    <t>島田　由紀</t>
    <rPh sb="0" eb="2">
      <t>シマダ</t>
    </rPh>
    <rPh sb="3" eb="5">
      <t>ユキ</t>
    </rPh>
    <phoneticPr fontId="9"/>
  </si>
  <si>
    <t>綾辻　秀人</t>
    <rPh sb="0" eb="1">
      <t>アヤ</t>
    </rPh>
    <rPh sb="1" eb="2">
      <t>ツジ</t>
    </rPh>
    <rPh sb="3" eb="5">
      <t>ヒデト</t>
    </rPh>
    <phoneticPr fontId="9"/>
  </si>
  <si>
    <t>藤倉　滝緒</t>
    <rPh sb="0" eb="2">
      <t>フジクラ</t>
    </rPh>
    <rPh sb="3" eb="4">
      <t>タキ</t>
    </rPh>
    <rPh sb="4" eb="5">
      <t>オ</t>
    </rPh>
    <phoneticPr fontId="9"/>
  </si>
  <si>
    <t>遠藤　真紀</t>
    <rPh sb="0" eb="2">
      <t>エンドウ</t>
    </rPh>
    <rPh sb="3" eb="5">
      <t>マキ</t>
    </rPh>
    <phoneticPr fontId="9"/>
  </si>
  <si>
    <t>京山　秋彦</t>
    <rPh sb="0" eb="1">
      <t>キョウ</t>
    </rPh>
    <rPh sb="1" eb="2">
      <t>ヤマ</t>
    </rPh>
    <rPh sb="3" eb="5">
      <t>アキヒコ</t>
    </rPh>
    <phoneticPr fontId="9"/>
  </si>
  <si>
    <t>川原　香織</t>
    <rPh sb="0" eb="2">
      <t>カワハラ</t>
    </rPh>
    <rPh sb="3" eb="5">
      <t>カオリ</t>
    </rPh>
    <phoneticPr fontId="9"/>
  </si>
  <si>
    <t>福田　直樹</t>
    <rPh sb="0" eb="2">
      <t>フクダ</t>
    </rPh>
    <rPh sb="3" eb="5">
      <t>ナオキ</t>
    </rPh>
    <phoneticPr fontId="9"/>
  </si>
  <si>
    <t>斉藤　信也</t>
    <rPh sb="0" eb="2">
      <t>サイトウ</t>
    </rPh>
    <rPh sb="3" eb="5">
      <t>シンヤ</t>
    </rPh>
    <phoneticPr fontId="9"/>
  </si>
  <si>
    <t>坂本　利雄</t>
    <rPh sb="0" eb="2">
      <t>サカモト</t>
    </rPh>
    <rPh sb="3" eb="5">
      <t>トシオ</t>
    </rPh>
    <phoneticPr fontId="9"/>
  </si>
  <si>
    <t>山本　涼子</t>
    <rPh sb="0" eb="2">
      <t>ヤマモト</t>
    </rPh>
    <rPh sb="3" eb="5">
      <t>リョウコ</t>
    </rPh>
    <phoneticPr fontId="9"/>
  </si>
  <si>
    <t>伊藤　隆</t>
    <rPh sb="0" eb="2">
      <t>イトウ</t>
    </rPh>
    <rPh sb="3" eb="4">
      <t>タカシ</t>
    </rPh>
    <phoneticPr fontId="9"/>
  </si>
  <si>
    <t>浜野　陽子</t>
    <rPh sb="0" eb="2">
      <t>ハマノ</t>
    </rPh>
    <rPh sb="3" eb="5">
      <t>ヨウコ</t>
    </rPh>
    <phoneticPr fontId="9"/>
  </si>
  <si>
    <t>結城　夏江</t>
    <rPh sb="0" eb="2">
      <t>ユウキ</t>
    </rPh>
    <rPh sb="3" eb="5">
      <t>ナツエ</t>
    </rPh>
    <phoneticPr fontId="9"/>
  </si>
  <si>
    <t>白井　茜</t>
    <rPh sb="0" eb="2">
      <t>シライ</t>
    </rPh>
    <rPh sb="3" eb="4">
      <t>アカネ</t>
    </rPh>
    <phoneticPr fontId="9"/>
  </si>
  <si>
    <t>梅畑　雄介</t>
    <rPh sb="0" eb="1">
      <t>ウメ</t>
    </rPh>
    <rPh sb="1" eb="2">
      <t>ハタ</t>
    </rPh>
    <rPh sb="3" eb="5">
      <t>ユウスケ</t>
    </rPh>
    <phoneticPr fontId="9"/>
  </si>
  <si>
    <t>花岡　順</t>
    <rPh sb="0" eb="2">
      <t>ハナオカ</t>
    </rPh>
    <rPh sb="3" eb="4">
      <t>ジュン</t>
    </rPh>
    <phoneticPr fontId="9"/>
  </si>
  <si>
    <t>森下　真澄</t>
    <rPh sb="0" eb="2">
      <t>モリシタ</t>
    </rPh>
    <rPh sb="3" eb="5">
      <t>マスミ</t>
    </rPh>
    <phoneticPr fontId="9"/>
  </si>
  <si>
    <t>所属コード表</t>
    <rPh sb="0" eb="2">
      <t>ショゾク</t>
    </rPh>
    <rPh sb="5" eb="6">
      <t>ヒョウ</t>
    </rPh>
    <phoneticPr fontId="9"/>
  </si>
  <si>
    <t>分布表</t>
    <rPh sb="0" eb="2">
      <t>ブンプ</t>
    </rPh>
    <rPh sb="2" eb="3">
      <t>ヒョウ</t>
    </rPh>
    <phoneticPr fontId="12"/>
  </si>
  <si>
    <t>金額分布</t>
    <phoneticPr fontId="7"/>
  </si>
  <si>
    <t>分布</t>
    <rPh sb="0" eb="2">
      <t>ブンプ</t>
    </rPh>
    <phoneticPr fontId="12"/>
  </si>
  <si>
    <t>東北支店</t>
    <rPh sb="0" eb="2">
      <t>トウホク</t>
    </rPh>
    <rPh sb="2" eb="4">
      <t>シテン</t>
    </rPh>
    <phoneticPr fontId="9"/>
  </si>
  <si>
    <t>～</t>
    <phoneticPr fontId="13"/>
  </si>
  <si>
    <t>関東支店</t>
    <rPh sb="0" eb="2">
      <t>カントウ</t>
    </rPh>
    <rPh sb="2" eb="4">
      <t>シテン</t>
    </rPh>
    <phoneticPr fontId="7"/>
  </si>
  <si>
    <t>東海支店</t>
    <rPh sb="0" eb="2">
      <t>トウカイ</t>
    </rPh>
    <rPh sb="2" eb="4">
      <t>シテン</t>
    </rPh>
    <phoneticPr fontId="9"/>
  </si>
  <si>
    <t>関西支店</t>
    <rPh sb="0" eb="2">
      <t>カンサイ</t>
    </rPh>
    <rPh sb="2" eb="4">
      <t>シテン</t>
    </rPh>
    <phoneticPr fontId="9"/>
  </si>
  <si>
    <t>中四国支店</t>
    <rPh sb="0" eb="3">
      <t>チュウシコク</t>
    </rPh>
    <rPh sb="3" eb="5">
      <t>シテン</t>
    </rPh>
    <phoneticPr fontId="9"/>
  </si>
  <si>
    <t>九州支店</t>
    <rPh sb="0" eb="2">
      <t>キュウシュウ</t>
    </rPh>
    <rPh sb="2" eb="4">
      <t>シテン</t>
    </rPh>
    <phoneticPr fontId="7"/>
  </si>
  <si>
    <t>試験結果</t>
    <rPh sb="0" eb="2">
      <t>シケン</t>
    </rPh>
    <rPh sb="2" eb="4">
      <t>ケッカ</t>
    </rPh>
    <phoneticPr fontId="2"/>
  </si>
  <si>
    <t>国語</t>
    <rPh sb="0" eb="2">
      <t>コクゴ</t>
    </rPh>
    <phoneticPr fontId="2"/>
  </si>
  <si>
    <t>数学</t>
    <rPh sb="0" eb="2">
      <t>スウガク</t>
    </rPh>
    <phoneticPr fontId="2"/>
  </si>
  <si>
    <t>英語</t>
    <rPh sb="0" eb="2">
      <t>エイゴ</t>
    </rPh>
    <phoneticPr fontId="2"/>
  </si>
  <si>
    <t>合計</t>
    <rPh sb="0" eb="2">
      <t>ゴウケイ</t>
    </rPh>
    <phoneticPr fontId="2"/>
  </si>
  <si>
    <t>平均</t>
    <rPh sb="0" eb="2">
      <t>ヘイキン</t>
    </rPh>
    <phoneticPr fontId="2"/>
  </si>
  <si>
    <t>合否</t>
    <rPh sb="0" eb="2">
      <t>ゴウヒ</t>
    </rPh>
    <phoneticPr fontId="2"/>
  </si>
  <si>
    <t>優良不可</t>
    <rPh sb="0" eb="2">
      <t>ユウリョウ</t>
    </rPh>
    <rPh sb="2" eb="4">
      <t>フカ</t>
    </rPh>
    <phoneticPr fontId="2"/>
  </si>
  <si>
    <t>5段階評価</t>
    <rPh sb="1" eb="3">
      <t>ダンカイ</t>
    </rPh>
    <rPh sb="3" eb="5">
      <t>ヒョウカ</t>
    </rPh>
    <phoneticPr fontId="2"/>
  </si>
  <si>
    <t>生徒1</t>
    <rPh sb="0" eb="2">
      <t>セイト</t>
    </rPh>
    <phoneticPr fontId="2"/>
  </si>
  <si>
    <t>生徒2</t>
    <rPh sb="0" eb="2">
      <t>セイト</t>
    </rPh>
    <phoneticPr fontId="2"/>
  </si>
  <si>
    <t>未受験</t>
    <rPh sb="0" eb="3">
      <t>ミジュケン</t>
    </rPh>
    <phoneticPr fontId="2"/>
  </si>
  <si>
    <t>生徒3</t>
    <rPh sb="0" eb="2">
      <t>セイト</t>
    </rPh>
    <phoneticPr fontId="2"/>
  </si>
  <si>
    <t>生徒4</t>
    <rPh sb="0" eb="2">
      <t>セイト</t>
    </rPh>
    <phoneticPr fontId="2"/>
  </si>
  <si>
    <t>生徒5</t>
    <rPh sb="0" eb="2">
      <t>セイト</t>
    </rPh>
    <phoneticPr fontId="2"/>
  </si>
  <si>
    <t>生徒6</t>
    <rPh sb="0" eb="2">
      <t>セイト</t>
    </rPh>
    <phoneticPr fontId="2"/>
  </si>
  <si>
    <t>生徒7</t>
    <rPh sb="0" eb="2">
      <t>セイト</t>
    </rPh>
    <phoneticPr fontId="2"/>
  </si>
  <si>
    <t>生徒8</t>
    <rPh sb="0" eb="2">
      <t>セイト</t>
    </rPh>
    <phoneticPr fontId="2"/>
  </si>
  <si>
    <t>生徒9</t>
    <rPh sb="0" eb="2">
      <t>セイト</t>
    </rPh>
    <phoneticPr fontId="2"/>
  </si>
  <si>
    <t>生徒10</t>
    <rPh sb="0" eb="2">
      <t>セイト</t>
    </rPh>
    <phoneticPr fontId="2"/>
  </si>
  <si>
    <t>最大点</t>
    <rPh sb="0" eb="2">
      <t>サイダイ</t>
    </rPh>
    <rPh sb="2" eb="3">
      <t>テン</t>
    </rPh>
    <phoneticPr fontId="2"/>
  </si>
  <si>
    <t>最小点</t>
    <rPh sb="0" eb="2">
      <t>サイショウ</t>
    </rPh>
    <rPh sb="2" eb="3">
      <t>テン</t>
    </rPh>
    <phoneticPr fontId="2"/>
  </si>
  <si>
    <t>受験者数</t>
    <rPh sb="0" eb="3">
      <t>ジュケンシャ</t>
    </rPh>
    <rPh sb="3" eb="4">
      <t>スウ</t>
    </rPh>
    <phoneticPr fontId="2"/>
  </si>
  <si>
    <t>人数</t>
    <rPh sb="0" eb="2">
      <t>ニンズウ</t>
    </rPh>
    <phoneticPr fontId="2"/>
  </si>
  <si>
    <t>合格</t>
    <rPh sb="0" eb="2">
      <t>ゴウカク</t>
    </rPh>
    <phoneticPr fontId="2"/>
  </si>
  <si>
    <t>合計100点未満</t>
    <rPh sb="0" eb="2">
      <t>ゴウケイ</t>
    </rPh>
    <rPh sb="5" eb="6">
      <t>テン</t>
    </rPh>
    <rPh sb="6" eb="8">
      <t>ミマン</t>
    </rPh>
    <phoneticPr fontId="2"/>
  </si>
  <si>
    <t>不合格</t>
    <rPh sb="0" eb="3">
      <t>フゴウカク</t>
    </rPh>
    <phoneticPr fontId="2"/>
  </si>
  <si>
    <t>合計100点以上</t>
    <rPh sb="0" eb="2">
      <t>ゴウケイ</t>
    </rPh>
    <rPh sb="5" eb="8">
      <t>テンイジョウ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</si>
</sst>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17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sz val="18"/>
      <color theme="5" tint="-0.499984740745262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8"/>
      <color theme="5" tint="-0.499984740745262"/>
      <name val="游ゴシック"/>
      <family val="3"/>
      <charset val="128"/>
      <scheme val="minor"/>
    </font>
    <font>
      <sz val="6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6"/>
      <color theme="1"/>
      <name val="游ゴシック"/>
      <family val="2"/>
      <scheme val="minor"/>
    </font>
    <font>
      <sz val="6"/>
      <name val="游ゴシック"/>
      <family val="2"/>
      <scheme val="minor"/>
    </font>
    <font>
      <sz val="16"/>
      <color theme="1"/>
      <name val="HG丸ｺﾞｼｯｸM-PRO"/>
      <family val="3"/>
      <charset val="128"/>
    </font>
    <font>
      <b/>
      <sz val="11"/>
      <color theme="0"/>
      <name val="Arial Unicode MS"/>
      <family val="3"/>
      <charset val="128"/>
    </font>
    <font>
      <sz val="11"/>
      <color theme="1"/>
      <name val="Arial Unicode MS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5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5" fillId="0" borderId="0"/>
  </cellStyleXfs>
  <cellXfs count="8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2" applyFont="1">
      <alignment vertical="center"/>
    </xf>
    <xf numFmtId="38" fontId="0" fillId="0" borderId="0" xfId="1" applyFont="1">
      <alignment vertical="center"/>
    </xf>
    <xf numFmtId="0" fontId="5" fillId="0" borderId="0" xfId="5" applyAlignment="1">
      <alignment vertical="center"/>
    </xf>
    <xf numFmtId="0" fontId="5" fillId="0" borderId="4" xfId="5" applyBorder="1" applyAlignment="1">
      <alignment horizontal="right" vertical="center"/>
    </xf>
    <xf numFmtId="0" fontId="5" fillId="0" borderId="0" xfId="5" applyBorder="1" applyAlignment="1">
      <alignment vertical="center"/>
    </xf>
    <xf numFmtId="0" fontId="5" fillId="0" borderId="5" xfId="5" applyFont="1" applyBorder="1" applyAlignment="1">
      <alignment horizontal="right" vertical="center"/>
    </xf>
    <xf numFmtId="0" fontId="10" fillId="0" borderId="5" xfId="5" applyFont="1" applyBorder="1" applyAlignment="1">
      <alignment vertical="center"/>
    </xf>
    <xf numFmtId="0" fontId="5" fillId="0" borderId="5" xfId="5" applyBorder="1" applyAlignment="1">
      <alignment horizontal="right" vertical="center"/>
    </xf>
    <xf numFmtId="0" fontId="3" fillId="5" borderId="1" xfId="3" applyFont="1" applyFill="1" applyBorder="1" applyAlignment="1">
      <alignment horizontal="center" vertical="center"/>
    </xf>
    <xf numFmtId="0" fontId="5" fillId="0" borderId="1" xfId="5" applyBorder="1" applyAlignment="1">
      <alignment vertical="center"/>
    </xf>
    <xf numFmtId="0" fontId="11" fillId="0" borderId="0" xfId="5" applyFont="1" applyAlignment="1">
      <alignment vertical="center"/>
    </xf>
    <xf numFmtId="0" fontId="0" fillId="3" borderId="1" xfId="4" applyFont="1" applyBorder="1" applyAlignment="1">
      <alignment horizontal="center" vertical="center"/>
    </xf>
    <xf numFmtId="0" fontId="1" fillId="3" borderId="1" xfId="4" applyBorder="1" applyAlignment="1">
      <alignment horizontal="center" vertical="center"/>
    </xf>
    <xf numFmtId="0" fontId="1" fillId="3" borderId="1" xfId="4" applyFont="1" applyBorder="1" applyAlignment="1">
      <alignment horizontal="center" vertical="center"/>
    </xf>
    <xf numFmtId="0" fontId="5" fillId="0" borderId="1" xfId="5" applyNumberFormat="1" applyBorder="1" applyAlignment="1">
      <alignment horizontal="center" vertical="center"/>
    </xf>
    <xf numFmtId="0" fontId="5" fillId="0" borderId="1" xfId="5" applyBorder="1" applyAlignment="1">
      <alignment horizontal="center" vertical="center"/>
    </xf>
    <xf numFmtId="49" fontId="5" fillId="0" borderId="1" xfId="5" applyNumberFormat="1" applyBorder="1" applyAlignment="1">
      <alignment horizontal="center" vertical="center"/>
    </xf>
    <xf numFmtId="0" fontId="4" fillId="0" borderId="0" xfId="5" applyFont="1" applyAlignment="1">
      <alignment vertical="center"/>
    </xf>
    <xf numFmtId="0" fontId="4" fillId="0" borderId="0" xfId="5" applyFont="1" applyBorder="1" applyAlignment="1">
      <alignment vertical="center"/>
    </xf>
    <xf numFmtId="0" fontId="1" fillId="3" borderId="2" xfId="4" applyFont="1" applyBorder="1" applyAlignment="1">
      <alignment vertical="center"/>
    </xf>
    <xf numFmtId="0" fontId="1" fillId="3" borderId="6" xfId="4" applyFont="1" applyBorder="1" applyAlignment="1">
      <alignment horizontal="center" vertical="center"/>
    </xf>
    <xf numFmtId="0" fontId="1" fillId="3" borderId="3" xfId="4" applyBorder="1" applyAlignment="1">
      <alignment vertical="center"/>
    </xf>
    <xf numFmtId="0" fontId="5" fillId="0" borderId="2" xfId="5" applyBorder="1" applyAlignment="1">
      <alignment horizontal="center" vertical="center"/>
    </xf>
    <xf numFmtId="0" fontId="5" fillId="0" borderId="6" xfId="5" applyBorder="1" applyAlignment="1">
      <alignment horizontal="center" vertical="center"/>
    </xf>
    <xf numFmtId="0" fontId="5" fillId="0" borderId="3" xfId="5" applyBorder="1" applyAlignment="1">
      <alignment horizontal="center" vertical="center"/>
    </xf>
    <xf numFmtId="0" fontId="15" fillId="6" borderId="7" xfId="0" applyFont="1" applyFill="1" applyBorder="1">
      <alignment vertical="center"/>
    </xf>
    <xf numFmtId="0" fontId="15" fillId="6" borderId="8" xfId="0" applyFont="1" applyFill="1" applyBorder="1">
      <alignment vertical="center"/>
    </xf>
    <xf numFmtId="0" fontId="15" fillId="6" borderId="9" xfId="0" applyFont="1" applyFill="1" applyBorder="1">
      <alignment vertical="center"/>
    </xf>
    <xf numFmtId="0" fontId="15" fillId="6" borderId="10" xfId="0" applyFont="1" applyFill="1" applyBorder="1">
      <alignment vertical="center"/>
    </xf>
    <xf numFmtId="0" fontId="15" fillId="7" borderId="8" xfId="0" applyFont="1" applyFill="1" applyBorder="1">
      <alignment vertical="center"/>
    </xf>
    <xf numFmtId="0" fontId="15" fillId="7" borderId="9" xfId="0" applyFont="1" applyFill="1" applyBorder="1">
      <alignment vertical="center"/>
    </xf>
    <xf numFmtId="0" fontId="15" fillId="7" borderId="11" xfId="0" applyFont="1" applyFill="1" applyBorder="1">
      <alignment vertical="center"/>
    </xf>
    <xf numFmtId="0" fontId="15" fillId="8" borderId="8" xfId="0" applyFont="1" applyFill="1" applyBorder="1">
      <alignment vertical="center"/>
    </xf>
    <xf numFmtId="0" fontId="3" fillId="9" borderId="12" xfId="0" applyFont="1" applyFill="1" applyBorder="1">
      <alignment vertical="center"/>
    </xf>
    <xf numFmtId="0" fontId="15" fillId="6" borderId="13" xfId="0" applyFont="1" applyFill="1" applyBorder="1">
      <alignment vertical="center"/>
    </xf>
    <xf numFmtId="0" fontId="16" fillId="0" borderId="14" xfId="0" applyFont="1" applyBorder="1">
      <alignment vertical="center"/>
    </xf>
    <xf numFmtId="0" fontId="16" fillId="0" borderId="15" xfId="0" applyFont="1" applyBorder="1">
      <alignment vertical="center"/>
    </xf>
    <xf numFmtId="0" fontId="16" fillId="0" borderId="16" xfId="0" applyFont="1" applyBorder="1">
      <alignment vertical="center"/>
    </xf>
    <xf numFmtId="0" fontId="16" fillId="0" borderId="5" xfId="0" applyFont="1" applyBorder="1">
      <alignment vertical="center"/>
    </xf>
    <xf numFmtId="0" fontId="0" fillId="0" borderId="17" xfId="0" applyBorder="1">
      <alignment vertical="center"/>
    </xf>
    <xf numFmtId="0" fontId="15" fillId="6" borderId="18" xfId="0" applyFont="1" applyFill="1" applyBorder="1">
      <alignment vertical="center"/>
    </xf>
    <xf numFmtId="0" fontId="16" fillId="0" borderId="19" xfId="0" applyFont="1" applyBorder="1">
      <alignment vertical="center"/>
    </xf>
    <xf numFmtId="0" fontId="16" fillId="0" borderId="1" xfId="0" applyFont="1" applyBorder="1">
      <alignment vertical="center"/>
    </xf>
    <xf numFmtId="0" fontId="16" fillId="0" borderId="2" xfId="0" applyFont="1" applyBorder="1">
      <alignment vertical="center"/>
    </xf>
    <xf numFmtId="0" fontId="15" fillId="6" borderId="20" xfId="0" applyFont="1" applyFill="1" applyBorder="1">
      <alignment vertical="center"/>
    </xf>
    <xf numFmtId="0" fontId="16" fillId="0" borderId="21" xfId="0" applyFont="1" applyBorder="1">
      <alignment vertical="center"/>
    </xf>
    <xf numFmtId="0" fontId="16" fillId="0" borderId="22" xfId="0" applyFont="1" applyBorder="1">
      <alignment vertical="center"/>
    </xf>
    <xf numFmtId="0" fontId="16" fillId="0" borderId="23" xfId="0" applyFont="1" applyBorder="1">
      <alignment vertical="center"/>
    </xf>
    <xf numFmtId="0" fontId="16" fillId="0" borderId="24" xfId="0" applyFont="1" applyBorder="1">
      <alignment vertical="center"/>
    </xf>
    <xf numFmtId="0" fontId="15" fillId="7" borderId="25" xfId="0" applyFont="1" applyFill="1" applyBorder="1">
      <alignment vertical="center"/>
    </xf>
    <xf numFmtId="0" fontId="16" fillId="0" borderId="26" xfId="0" applyFont="1" applyBorder="1">
      <alignment vertical="center"/>
    </xf>
    <xf numFmtId="0" fontId="16" fillId="0" borderId="0" xfId="0" applyFont="1" applyBorder="1">
      <alignment vertical="center"/>
    </xf>
    <xf numFmtId="0" fontId="15" fillId="7" borderId="19" xfId="0" applyFont="1" applyFill="1" applyBorder="1">
      <alignment vertical="center"/>
    </xf>
    <xf numFmtId="0" fontId="16" fillId="0" borderId="0" xfId="0" applyFont="1">
      <alignment vertical="center"/>
    </xf>
    <xf numFmtId="0" fontId="15" fillId="7" borderId="23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3" fillId="8" borderId="7" xfId="0" applyFont="1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3" fillId="8" borderId="28" xfId="0" applyFont="1" applyFill="1" applyBorder="1">
      <alignment vertical="center"/>
    </xf>
    <xf numFmtId="0" fontId="3" fillId="8" borderId="25" xfId="0" applyFont="1" applyFill="1" applyBorder="1">
      <alignment vertical="center"/>
    </xf>
    <xf numFmtId="0" fontId="0" fillId="0" borderId="27" xfId="0" applyFill="1" applyBorder="1">
      <alignment vertical="center"/>
    </xf>
    <xf numFmtId="0" fontId="3" fillId="8" borderId="29" xfId="0" applyFont="1" applyFill="1" applyBorder="1" applyAlignment="1">
      <alignment horizontal="center" vertical="center"/>
    </xf>
    <xf numFmtId="0" fontId="0" fillId="0" borderId="27" xfId="0" applyBorder="1">
      <alignment vertical="center"/>
    </xf>
    <xf numFmtId="0" fontId="3" fillId="8" borderId="23" xfId="0" applyFont="1" applyFill="1" applyBorder="1">
      <alignment vertical="center"/>
    </xf>
    <xf numFmtId="0" fontId="3" fillId="8" borderId="30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176" fontId="16" fillId="0" borderId="15" xfId="0" applyNumberFormat="1" applyFont="1" applyBorder="1">
      <alignment vertical="center"/>
    </xf>
    <xf numFmtId="0" fontId="6" fillId="4" borderId="0" xfId="5" applyFont="1" applyFill="1" applyAlignment="1">
      <alignment horizontal="center" vertical="center"/>
    </xf>
    <xf numFmtId="0" fontId="8" fillId="4" borderId="0" xfId="5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" fillId="8" borderId="25" xfId="0" applyFont="1" applyFill="1" applyBorder="1" applyAlignment="1">
      <alignment horizontal="center" vertical="center"/>
    </xf>
    <xf numFmtId="0" fontId="3" fillId="8" borderId="26" xfId="0" applyFont="1" applyFill="1" applyBorder="1" applyAlignment="1">
      <alignment horizontal="center" vertical="center"/>
    </xf>
    <xf numFmtId="0" fontId="3" fillId="8" borderId="23" xfId="0" applyFont="1" applyFill="1" applyBorder="1" applyAlignment="1">
      <alignment horizontal="center" vertical="center"/>
    </xf>
    <xf numFmtId="0" fontId="3" fillId="8" borderId="24" xfId="0" applyFont="1" applyFill="1" applyBorder="1" applyAlignment="1">
      <alignment horizontal="center" vertical="center"/>
    </xf>
  </cellXfs>
  <cellStyles count="6">
    <cellStyle name="40% - アクセント 6" xfId="4" builtinId="51"/>
    <cellStyle name="60% - アクセント 4" xfId="3" builtinId="44"/>
    <cellStyle name="パーセント" xfId="2" builtinId="5"/>
    <cellStyle name="桁区切り" xfId="1" builtinId="6"/>
    <cellStyle name="標準" xfId="0" builtinId="0"/>
    <cellStyle name="標準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A2" sqref="A2"/>
    </sheetView>
  </sheetViews>
  <sheetFormatPr defaultRowHeight="18"/>
  <cols>
    <col min="4" max="4" width="9.19921875" bestFit="1" customWidth="1"/>
  </cols>
  <sheetData>
    <row r="1" spans="1:4">
      <c r="A1">
        <v>2</v>
      </c>
      <c r="B1">
        <f>A1</f>
        <v>2</v>
      </c>
      <c r="C1" s="2"/>
      <c r="D1" s="3"/>
    </row>
    <row r="2" spans="1:4">
      <c r="A2">
        <f>A1+1</f>
        <v>3</v>
      </c>
      <c r="B2" s="1">
        <f>A2+B1</f>
        <v>5</v>
      </c>
    </row>
    <row r="3" spans="1:4">
      <c r="A3">
        <f>A2+1</f>
        <v>4</v>
      </c>
      <c r="B3">
        <f>A3+B2</f>
        <v>9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F4" sqref="F4"/>
    </sheetView>
  </sheetViews>
  <sheetFormatPr defaultRowHeight="18"/>
  <cols>
    <col min="4" max="4" width="9.19921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50</v>
      </c>
      <c r="C2">
        <v>3</v>
      </c>
      <c r="D2">
        <f>B2*C2</f>
        <v>150</v>
      </c>
    </row>
    <row r="3" spans="1:4">
      <c r="A3" t="s">
        <v>5</v>
      </c>
      <c r="B3">
        <v>100</v>
      </c>
      <c r="C3">
        <v>1</v>
      </c>
      <c r="D3">
        <f t="shared" ref="D3:D4" si="0">B3*C3</f>
        <v>100</v>
      </c>
    </row>
    <row r="4" spans="1:4">
      <c r="A4" t="s">
        <v>6</v>
      </c>
      <c r="B4">
        <v>120</v>
      </c>
      <c r="C4">
        <v>1</v>
      </c>
      <c r="D4">
        <f t="shared" si="0"/>
        <v>120</v>
      </c>
    </row>
    <row r="6" spans="1:4">
      <c r="B6" t="s">
        <v>7</v>
      </c>
      <c r="C6">
        <f>SUM(D2:D4)</f>
        <v>370</v>
      </c>
      <c r="D6" t="s">
        <v>8</v>
      </c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24" sqref="E24"/>
    </sheetView>
  </sheetViews>
  <sheetFormatPr defaultRowHeight="18"/>
  <cols>
    <col min="4" max="4" width="9.19921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>
      <c r="A2" t="s">
        <v>4</v>
      </c>
      <c r="B2">
        <v>50</v>
      </c>
      <c r="C2">
        <v>3</v>
      </c>
      <c r="D2">
        <f>B2*C2</f>
        <v>150</v>
      </c>
      <c r="E2" s="4">
        <f>D2/$C$6</f>
        <v>0.40540540540540543</v>
      </c>
    </row>
    <row r="3" spans="1:5">
      <c r="A3" t="s">
        <v>5</v>
      </c>
      <c r="B3">
        <v>100</v>
      </c>
      <c r="C3">
        <v>1</v>
      </c>
      <c r="D3">
        <f t="shared" ref="D3:D4" si="0">B3*C3</f>
        <v>100</v>
      </c>
      <c r="E3" s="4">
        <f t="shared" ref="E3:E4" si="1">D3/$C$6</f>
        <v>0.27027027027027029</v>
      </c>
    </row>
    <row r="4" spans="1:5">
      <c r="A4" t="s">
        <v>6</v>
      </c>
      <c r="B4">
        <v>120</v>
      </c>
      <c r="C4">
        <v>1</v>
      </c>
      <c r="D4">
        <f t="shared" si="0"/>
        <v>120</v>
      </c>
      <c r="E4" s="4">
        <f t="shared" si="1"/>
        <v>0.32432432432432434</v>
      </c>
    </row>
    <row r="6" spans="1:5">
      <c r="B6" t="s">
        <v>7</v>
      </c>
      <c r="C6">
        <f>SUM(D2:D4)</f>
        <v>370</v>
      </c>
      <c r="D6" t="s">
        <v>8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5" sqref="E5"/>
    </sheetView>
  </sheetViews>
  <sheetFormatPr defaultRowHeight="18"/>
  <cols>
    <col min="2" max="4" width="21.3984375" bestFit="1" customWidth="1"/>
    <col min="5" max="5" width="17.19921875" bestFit="1" customWidth="1"/>
  </cols>
  <sheetData>
    <row r="1" spans="1:5">
      <c r="A1" t="s">
        <v>10</v>
      </c>
      <c r="B1" t="s">
        <v>11</v>
      </c>
      <c r="C1" t="s">
        <v>12</v>
      </c>
      <c r="D1" t="s">
        <v>13</v>
      </c>
    </row>
    <row r="2" spans="1:5">
      <c r="A2" t="s">
        <v>14</v>
      </c>
      <c r="B2">
        <v>0.5</v>
      </c>
      <c r="C2">
        <v>0.3</v>
      </c>
      <c r="D2">
        <v>0.2</v>
      </c>
    </row>
    <row r="3" spans="1:5" ht="69" customHeight="1">
      <c r="A3" t="s">
        <v>15</v>
      </c>
      <c r="B3" t="s">
        <v>19</v>
      </c>
      <c r="C3" t="s">
        <v>20</v>
      </c>
      <c r="D3" t="s">
        <v>21</v>
      </c>
      <c r="E3" t="s">
        <v>22</v>
      </c>
    </row>
    <row r="4" spans="1:5">
      <c r="A4" t="s">
        <v>16</v>
      </c>
      <c r="B4" s="5">
        <v>300000</v>
      </c>
      <c r="C4" s="5">
        <v>100000</v>
      </c>
      <c r="D4" s="5">
        <v>80000</v>
      </c>
      <c r="E4" s="5">
        <f>$B$2*B4+$C$2*C4+$D$2*D4</f>
        <v>196000</v>
      </c>
    </row>
    <row r="5" spans="1:5">
      <c r="A5" t="s">
        <v>17</v>
      </c>
      <c r="B5" s="5">
        <v>250000</v>
      </c>
      <c r="C5" s="5">
        <v>280000</v>
      </c>
      <c r="D5" s="5">
        <v>300000</v>
      </c>
      <c r="E5" s="5">
        <f t="shared" ref="E5:E6" si="0">$B$2*B5+$C$2*C5+$D$2*D5</f>
        <v>269000</v>
      </c>
    </row>
    <row r="6" spans="1:5">
      <c r="A6" t="s">
        <v>18</v>
      </c>
      <c r="B6" s="5">
        <v>100000</v>
      </c>
      <c r="C6" s="5">
        <v>250000</v>
      </c>
      <c r="D6" s="5">
        <v>350000</v>
      </c>
      <c r="E6" s="5">
        <f t="shared" si="0"/>
        <v>195000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7" sqref="C7"/>
    </sheetView>
  </sheetViews>
  <sheetFormatPr defaultRowHeight="18"/>
  <sheetData>
    <row r="1" spans="1:3">
      <c r="A1" t="s">
        <v>23</v>
      </c>
      <c r="B1" s="5">
        <v>1000</v>
      </c>
    </row>
    <row r="2" spans="1:3">
      <c r="A2" t="s">
        <v>24</v>
      </c>
      <c r="B2" t="s">
        <v>25</v>
      </c>
      <c r="C2" t="s">
        <v>26</v>
      </c>
    </row>
    <row r="3" spans="1:3">
      <c r="A3" t="s">
        <v>27</v>
      </c>
      <c r="B3">
        <v>10</v>
      </c>
      <c r="C3" s="5">
        <f>B$1*SUM(B$3:B3)/COUNT(B$3:B3)</f>
        <v>10000</v>
      </c>
    </row>
    <row r="4" spans="1:3">
      <c r="A4" t="s">
        <v>28</v>
      </c>
      <c r="B4">
        <v>8</v>
      </c>
      <c r="C4" s="5">
        <f>B$1*SUM(B$3:B4)/COUNT(B$3:B4)</f>
        <v>9000</v>
      </c>
    </row>
    <row r="5" spans="1:3">
      <c r="A5" t="s">
        <v>29</v>
      </c>
      <c r="B5">
        <v>0</v>
      </c>
      <c r="C5" s="5">
        <f>B$1*SUM(B$3:B5)/COUNT(B$3:B5)</f>
        <v>6000</v>
      </c>
    </row>
    <row r="6" spans="1:3">
      <c r="A6" t="s">
        <v>30</v>
      </c>
      <c r="B6">
        <v>4</v>
      </c>
      <c r="C6" s="5">
        <f>B$1*SUM(B$3:B6)/COUNT(B$3:B6)</f>
        <v>5500</v>
      </c>
    </row>
    <row r="7" spans="1:3">
      <c r="A7" t="s">
        <v>31</v>
      </c>
      <c r="B7">
        <v>5</v>
      </c>
      <c r="C7" s="5">
        <f>B$1*SUM(B$3:B7)/COUNT(B$3:B7)</f>
        <v>5400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2" sqref="D2:D5"/>
    </sheetView>
  </sheetViews>
  <sheetFormatPr defaultRowHeight="18"/>
  <cols>
    <col min="1" max="1" width="11" bestFit="1" customWidth="1"/>
  </cols>
  <sheetData>
    <row r="1" spans="1:4">
      <c r="A1" t="s">
        <v>32</v>
      </c>
      <c r="B1" t="s">
        <v>33</v>
      </c>
      <c r="C1" t="s">
        <v>34</v>
      </c>
      <c r="D1" t="s">
        <v>39</v>
      </c>
    </row>
    <row r="2" spans="1:4">
      <c r="A2" t="s">
        <v>35</v>
      </c>
      <c r="B2" s="5">
        <v>25000</v>
      </c>
      <c r="C2" s="5">
        <v>30000</v>
      </c>
      <c r="D2" t="str">
        <f>IF(C2&gt;B2,"A","D")</f>
        <v>A</v>
      </c>
    </row>
    <row r="3" spans="1:4">
      <c r="A3" t="s">
        <v>36</v>
      </c>
      <c r="B3" s="5">
        <v>30000</v>
      </c>
      <c r="C3" s="5">
        <v>28000</v>
      </c>
      <c r="D3" t="str">
        <f t="shared" ref="D3:D5" si="0">IF(C3&gt;B3,"A","D")</f>
        <v>D</v>
      </c>
    </row>
    <row r="4" spans="1:4">
      <c r="A4" t="s">
        <v>37</v>
      </c>
      <c r="B4" s="5">
        <v>6000</v>
      </c>
      <c r="C4" s="5">
        <v>7000</v>
      </c>
      <c r="D4" t="str">
        <f t="shared" si="0"/>
        <v>A</v>
      </c>
    </row>
    <row r="5" spans="1:4">
      <c r="A5" t="s">
        <v>38</v>
      </c>
      <c r="B5" s="5">
        <v>1</v>
      </c>
      <c r="C5" s="5">
        <v>0</v>
      </c>
      <c r="D5" t="str">
        <f t="shared" si="0"/>
        <v>D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C4" sqref="C4"/>
    </sheetView>
  </sheetViews>
  <sheetFormatPr defaultColWidth="9" defaultRowHeight="18"/>
  <cols>
    <col min="1" max="1" width="7.19921875" style="6" bestFit="1" customWidth="1"/>
    <col min="2" max="2" width="14.59765625" style="6" customWidth="1"/>
    <col min="3" max="3" width="16.69921875" style="6" bestFit="1" customWidth="1"/>
    <col min="4" max="4" width="27.8984375" style="6" customWidth="1"/>
    <col min="5" max="5" width="15.59765625" style="6" customWidth="1"/>
    <col min="6" max="6" width="9.69921875" style="6" bestFit="1" customWidth="1"/>
    <col min="7" max="16384" width="9" style="6"/>
  </cols>
  <sheetData>
    <row r="1" spans="1:6" ht="28.8">
      <c r="A1" s="74" t="s">
        <v>40</v>
      </c>
      <c r="B1" s="75"/>
      <c r="C1" s="75"/>
      <c r="D1" s="75"/>
      <c r="E1" s="75"/>
      <c r="F1" s="75"/>
    </row>
    <row r="2" spans="1:6" ht="18.600000000000001" thickBot="1">
      <c r="B2" s="7" t="s">
        <v>41</v>
      </c>
      <c r="C2" s="10">
        <f>COUNTA(B7:B26)</f>
        <v>20</v>
      </c>
    </row>
    <row r="3" spans="1:6" ht="18.600000000000001" thickTop="1">
      <c r="A3" s="8" t="s">
        <v>42</v>
      </c>
      <c r="B3" s="9" t="s">
        <v>43</v>
      </c>
      <c r="C3" s="10">
        <f>COUNTIF(F7:F26,B3)</f>
        <v>15</v>
      </c>
    </row>
    <row r="4" spans="1:6">
      <c r="B4" s="11" t="s">
        <v>44</v>
      </c>
      <c r="C4" s="10">
        <f>COUNTIF($F$7:$F$26,B4)</f>
        <v>5</v>
      </c>
    </row>
    <row r="6" spans="1:6">
      <c r="A6" s="12" t="s">
        <v>45</v>
      </c>
      <c r="B6" s="12" t="s">
        <v>46</v>
      </c>
      <c r="C6" s="12" t="s">
        <v>47</v>
      </c>
      <c r="D6" s="12" t="s">
        <v>48</v>
      </c>
      <c r="E6" s="12" t="s">
        <v>49</v>
      </c>
      <c r="F6" s="12" t="s">
        <v>50</v>
      </c>
    </row>
    <row r="7" spans="1:6">
      <c r="A7" s="13">
        <v>1001</v>
      </c>
      <c r="B7" s="13" t="s">
        <v>51</v>
      </c>
      <c r="C7" s="13"/>
      <c r="D7" s="13" t="s">
        <v>52</v>
      </c>
      <c r="E7" s="13" t="s">
        <v>53</v>
      </c>
      <c r="F7" s="13" t="s">
        <v>43</v>
      </c>
    </row>
    <row r="8" spans="1:6">
      <c r="A8" s="13">
        <v>1002</v>
      </c>
      <c r="B8" s="13" t="s">
        <v>54</v>
      </c>
      <c r="C8" s="13"/>
      <c r="D8" s="13" t="s">
        <v>55</v>
      </c>
      <c r="E8" s="13" t="s">
        <v>56</v>
      </c>
      <c r="F8" s="13" t="s">
        <v>44</v>
      </c>
    </row>
    <row r="9" spans="1:6">
      <c r="A9" s="13">
        <v>1003</v>
      </c>
      <c r="B9" s="13" t="s">
        <v>57</v>
      </c>
      <c r="C9" s="13"/>
      <c r="D9" s="13" t="s">
        <v>58</v>
      </c>
      <c r="E9" s="13" t="s">
        <v>59</v>
      </c>
      <c r="F9" s="13" t="s">
        <v>43</v>
      </c>
    </row>
    <row r="10" spans="1:6">
      <c r="A10" s="13">
        <v>1004</v>
      </c>
      <c r="B10" s="13" t="s">
        <v>60</v>
      </c>
      <c r="C10" s="13"/>
      <c r="D10" s="13" t="s">
        <v>61</v>
      </c>
      <c r="E10" s="13" t="s">
        <v>62</v>
      </c>
      <c r="F10" s="13" t="s">
        <v>43</v>
      </c>
    </row>
    <row r="11" spans="1:6">
      <c r="A11" s="13">
        <v>1005</v>
      </c>
      <c r="B11" s="13" t="s">
        <v>63</v>
      </c>
      <c r="C11" s="13"/>
      <c r="D11" s="13" t="s">
        <v>64</v>
      </c>
      <c r="E11" s="13" t="s">
        <v>65</v>
      </c>
      <c r="F11" s="13" t="s">
        <v>44</v>
      </c>
    </row>
    <row r="12" spans="1:6">
      <c r="A12" s="13">
        <v>1006</v>
      </c>
      <c r="B12" s="13" t="s">
        <v>66</v>
      </c>
      <c r="C12" s="13"/>
      <c r="D12" s="13" t="s">
        <v>67</v>
      </c>
      <c r="E12" s="13" t="s">
        <v>68</v>
      </c>
      <c r="F12" s="13" t="s">
        <v>43</v>
      </c>
    </row>
    <row r="13" spans="1:6">
      <c r="A13" s="13">
        <v>1007</v>
      </c>
      <c r="B13" s="13" t="s">
        <v>69</v>
      </c>
      <c r="C13" s="13"/>
      <c r="D13" s="13" t="s">
        <v>70</v>
      </c>
      <c r="E13" s="13" t="s">
        <v>71</v>
      </c>
      <c r="F13" s="13" t="s">
        <v>43</v>
      </c>
    </row>
    <row r="14" spans="1:6">
      <c r="A14" s="13">
        <v>1008</v>
      </c>
      <c r="B14" s="13" t="s">
        <v>72</v>
      </c>
      <c r="C14" s="13"/>
      <c r="D14" s="13" t="s">
        <v>73</v>
      </c>
      <c r="E14" s="13" t="s">
        <v>74</v>
      </c>
      <c r="F14" s="13" t="s">
        <v>43</v>
      </c>
    </row>
    <row r="15" spans="1:6">
      <c r="A15" s="13">
        <v>1009</v>
      </c>
      <c r="B15" s="13" t="s">
        <v>75</v>
      </c>
      <c r="C15" s="13"/>
      <c r="D15" s="13" t="s">
        <v>76</v>
      </c>
      <c r="E15" s="13" t="s">
        <v>77</v>
      </c>
      <c r="F15" s="13" t="s">
        <v>43</v>
      </c>
    </row>
    <row r="16" spans="1:6">
      <c r="A16" s="13">
        <v>1010</v>
      </c>
      <c r="B16" s="13" t="s">
        <v>78</v>
      </c>
      <c r="C16" s="13"/>
      <c r="D16" s="13" t="s">
        <v>79</v>
      </c>
      <c r="E16" s="13" t="s">
        <v>80</v>
      </c>
      <c r="F16" s="13" t="s">
        <v>43</v>
      </c>
    </row>
    <row r="17" spans="1:6">
      <c r="A17" s="13">
        <v>1011</v>
      </c>
      <c r="B17" s="13" t="s">
        <v>81</v>
      </c>
      <c r="C17" s="13"/>
      <c r="D17" s="13" t="s">
        <v>82</v>
      </c>
      <c r="E17" s="13" t="s">
        <v>83</v>
      </c>
      <c r="F17" s="13" t="s">
        <v>44</v>
      </c>
    </row>
    <row r="18" spans="1:6">
      <c r="A18" s="13">
        <v>1012</v>
      </c>
      <c r="B18" s="13" t="s">
        <v>84</v>
      </c>
      <c r="C18" s="13"/>
      <c r="D18" s="13" t="s">
        <v>85</v>
      </c>
      <c r="E18" s="13" t="s">
        <v>86</v>
      </c>
      <c r="F18" s="13" t="s">
        <v>43</v>
      </c>
    </row>
    <row r="19" spans="1:6">
      <c r="A19" s="13">
        <v>1013</v>
      </c>
      <c r="B19" s="13" t="s">
        <v>87</v>
      </c>
      <c r="C19" s="13"/>
      <c r="D19" s="13" t="s">
        <v>88</v>
      </c>
      <c r="E19" s="13" t="s">
        <v>89</v>
      </c>
      <c r="F19" s="13" t="s">
        <v>43</v>
      </c>
    </row>
    <row r="20" spans="1:6">
      <c r="A20" s="13">
        <v>1014</v>
      </c>
      <c r="B20" s="13" t="s">
        <v>90</v>
      </c>
      <c r="C20" s="13"/>
      <c r="D20" s="13" t="s">
        <v>91</v>
      </c>
      <c r="E20" s="13" t="s">
        <v>92</v>
      </c>
      <c r="F20" s="13" t="s">
        <v>43</v>
      </c>
    </row>
    <row r="21" spans="1:6">
      <c r="A21" s="13">
        <v>1015</v>
      </c>
      <c r="B21" s="13" t="s">
        <v>93</v>
      </c>
      <c r="C21" s="13"/>
      <c r="D21" s="13" t="s">
        <v>94</v>
      </c>
      <c r="E21" s="13" t="s">
        <v>95</v>
      </c>
      <c r="F21" s="13" t="s">
        <v>44</v>
      </c>
    </row>
    <row r="22" spans="1:6">
      <c r="A22" s="13">
        <v>1016</v>
      </c>
      <c r="B22" s="13" t="s">
        <v>96</v>
      </c>
      <c r="C22" s="13"/>
      <c r="D22" s="13" t="s">
        <v>97</v>
      </c>
      <c r="E22" s="13" t="s">
        <v>98</v>
      </c>
      <c r="F22" s="13" t="s">
        <v>43</v>
      </c>
    </row>
    <row r="23" spans="1:6">
      <c r="A23" s="13">
        <v>1017</v>
      </c>
      <c r="B23" s="13" t="s">
        <v>99</v>
      </c>
      <c r="C23" s="13"/>
      <c r="D23" s="13" t="s">
        <v>100</v>
      </c>
      <c r="E23" s="13" t="s">
        <v>101</v>
      </c>
      <c r="F23" s="13" t="s">
        <v>44</v>
      </c>
    </row>
    <row r="24" spans="1:6">
      <c r="A24" s="13">
        <v>1018</v>
      </c>
      <c r="B24" s="13" t="s">
        <v>102</v>
      </c>
      <c r="C24" s="13"/>
      <c r="D24" s="13" t="s">
        <v>103</v>
      </c>
      <c r="E24" s="13" t="s">
        <v>104</v>
      </c>
      <c r="F24" s="13" t="s">
        <v>43</v>
      </c>
    </row>
    <row r="25" spans="1:6">
      <c r="A25" s="13">
        <v>1019</v>
      </c>
      <c r="B25" s="13" t="s">
        <v>105</v>
      </c>
      <c r="C25" s="13"/>
      <c r="D25" s="13" t="s">
        <v>106</v>
      </c>
      <c r="E25" s="13" t="s">
        <v>107</v>
      </c>
      <c r="F25" s="13" t="s">
        <v>43</v>
      </c>
    </row>
    <row r="26" spans="1:6">
      <c r="A26" s="13">
        <v>1020</v>
      </c>
      <c r="B26" s="13" t="s">
        <v>108</v>
      </c>
      <c r="C26" s="13"/>
      <c r="D26" s="13" t="s">
        <v>109</v>
      </c>
      <c r="E26" s="13" t="s">
        <v>110</v>
      </c>
      <c r="F26" s="13" t="s">
        <v>43</v>
      </c>
    </row>
  </sheetData>
  <mergeCells count="1">
    <mergeCell ref="A1:F1"/>
  </mergeCells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topLeftCell="A7" workbookViewId="0">
      <selection activeCell="G10" sqref="G10"/>
    </sheetView>
  </sheetViews>
  <sheetFormatPr defaultColWidth="9" defaultRowHeight="18"/>
  <cols>
    <col min="1" max="1" width="9.69921875" style="6" bestFit="1" customWidth="1"/>
    <col min="2" max="2" width="11.59765625" style="6" customWidth="1"/>
    <col min="3" max="3" width="7.8984375" style="6" bestFit="1" customWidth="1"/>
    <col min="4" max="9" width="11.59765625" style="6" customWidth="1"/>
    <col min="10" max="16384" width="9" style="6"/>
  </cols>
  <sheetData>
    <row r="1" spans="1:9" ht="26.4">
      <c r="A1" s="14" t="s">
        <v>111</v>
      </c>
    </row>
    <row r="2" spans="1:9">
      <c r="A2" s="15" t="s">
        <v>112</v>
      </c>
      <c r="B2" s="16" t="s">
        <v>46</v>
      </c>
      <c r="C2" s="15" t="s">
        <v>113</v>
      </c>
      <c r="D2" s="16" t="s">
        <v>114</v>
      </c>
      <c r="E2" s="17" t="s">
        <v>115</v>
      </c>
      <c r="F2" s="17" t="s">
        <v>116</v>
      </c>
      <c r="G2" s="17" t="s">
        <v>117</v>
      </c>
      <c r="H2" s="17" t="s">
        <v>118</v>
      </c>
      <c r="I2" s="17" t="s">
        <v>119</v>
      </c>
    </row>
    <row r="3" spans="1:9">
      <c r="A3" s="18">
        <v>74032</v>
      </c>
      <c r="B3" s="13" t="s">
        <v>120</v>
      </c>
      <c r="C3" s="19">
        <v>30</v>
      </c>
      <c r="D3" s="13" t="str">
        <f>VLOOKUP(C3,$C$22:$D$27,2,FALSE)</f>
        <v>東海支店</v>
      </c>
      <c r="E3" s="13">
        <v>380</v>
      </c>
      <c r="F3" s="13">
        <v>400</v>
      </c>
      <c r="G3" s="13">
        <f>SUM(E3:F3)</f>
        <v>780</v>
      </c>
      <c r="H3" s="19" t="str">
        <f>IF(G3&gt;=700,"A","B")</f>
        <v>A</v>
      </c>
      <c r="I3" s="19" t="str">
        <f>IF(AND(E3&gt;=350,F3&gt;=350),"A","B")</f>
        <v>A</v>
      </c>
    </row>
    <row r="4" spans="1:9">
      <c r="A4" s="20">
        <v>73011</v>
      </c>
      <c r="B4" s="13" t="s">
        <v>121</v>
      </c>
      <c r="C4" s="19">
        <v>10</v>
      </c>
      <c r="D4" s="13" t="str">
        <f t="shared" ref="D4:D19" si="0">VLOOKUP(C4,$C$22:$D$27,2,FALSE)</f>
        <v>東北支店</v>
      </c>
      <c r="E4" s="13">
        <v>155</v>
      </c>
      <c r="F4" s="13">
        <v>260</v>
      </c>
      <c r="G4" s="13">
        <f t="shared" ref="G4:G19" si="1">SUM(E4:F4)</f>
        <v>415</v>
      </c>
      <c r="H4" s="19" t="str">
        <f t="shared" ref="H4:H19" si="2">IF(G4&gt;=700,"A","B")</f>
        <v>B</v>
      </c>
      <c r="I4" s="19" t="str">
        <f t="shared" ref="I4:I19" si="3">IF(AND(E4&gt;=350,F4&gt;=350),"A","B")</f>
        <v>B</v>
      </c>
    </row>
    <row r="5" spans="1:9">
      <c r="A5" s="20">
        <v>74063</v>
      </c>
      <c r="B5" s="13" t="s">
        <v>122</v>
      </c>
      <c r="C5" s="19">
        <v>40</v>
      </c>
      <c r="D5" s="13" t="str">
        <f t="shared" si="0"/>
        <v>関西支店</v>
      </c>
      <c r="E5" s="13">
        <v>230</v>
      </c>
      <c r="F5" s="13">
        <v>470</v>
      </c>
      <c r="G5" s="13">
        <f t="shared" si="1"/>
        <v>700</v>
      </c>
      <c r="H5" s="19" t="str">
        <f t="shared" si="2"/>
        <v>A</v>
      </c>
      <c r="I5" s="19" t="str">
        <f t="shared" si="3"/>
        <v>B</v>
      </c>
    </row>
    <row r="6" spans="1:9">
      <c r="A6" s="20">
        <v>78021</v>
      </c>
      <c r="B6" s="13" t="s">
        <v>123</v>
      </c>
      <c r="C6" s="19">
        <v>20</v>
      </c>
      <c r="D6" s="13" t="str">
        <f t="shared" si="0"/>
        <v>関東支店</v>
      </c>
      <c r="E6" s="13">
        <v>420</v>
      </c>
      <c r="F6" s="13">
        <v>360</v>
      </c>
      <c r="G6" s="13">
        <f t="shared" si="1"/>
        <v>780</v>
      </c>
      <c r="H6" s="19" t="str">
        <f t="shared" si="2"/>
        <v>A</v>
      </c>
      <c r="I6" s="19" t="str">
        <f t="shared" si="3"/>
        <v>A</v>
      </c>
    </row>
    <row r="7" spans="1:9">
      <c r="A7" s="20">
        <v>79063</v>
      </c>
      <c r="B7" s="13" t="s">
        <v>124</v>
      </c>
      <c r="C7" s="19">
        <v>30</v>
      </c>
      <c r="D7" s="13" t="str">
        <f t="shared" si="0"/>
        <v>東海支店</v>
      </c>
      <c r="E7" s="13">
        <v>190</v>
      </c>
      <c r="F7" s="13">
        <v>150</v>
      </c>
      <c r="G7" s="13">
        <f t="shared" si="1"/>
        <v>340</v>
      </c>
      <c r="H7" s="19" t="str">
        <f t="shared" si="2"/>
        <v>B</v>
      </c>
      <c r="I7" s="19" t="str">
        <f t="shared" si="3"/>
        <v>B</v>
      </c>
    </row>
    <row r="8" spans="1:9">
      <c r="A8" s="20">
        <v>80031</v>
      </c>
      <c r="B8" s="13" t="s">
        <v>125</v>
      </c>
      <c r="C8" s="19">
        <v>50</v>
      </c>
      <c r="D8" s="13" t="str">
        <f t="shared" si="0"/>
        <v>中四国支店</v>
      </c>
      <c r="E8" s="13">
        <v>390</v>
      </c>
      <c r="F8" s="13">
        <v>230</v>
      </c>
      <c r="G8" s="13">
        <f t="shared" si="1"/>
        <v>620</v>
      </c>
      <c r="H8" s="19" t="str">
        <f t="shared" si="2"/>
        <v>B</v>
      </c>
      <c r="I8" s="19" t="str">
        <f t="shared" si="3"/>
        <v>B</v>
      </c>
    </row>
    <row r="9" spans="1:9">
      <c r="A9" s="20">
        <v>81031</v>
      </c>
      <c r="B9" s="13" t="s">
        <v>126</v>
      </c>
      <c r="C9" s="19">
        <v>60</v>
      </c>
      <c r="D9" s="13" t="str">
        <f t="shared" si="0"/>
        <v>九州支店</v>
      </c>
      <c r="E9" s="13">
        <v>320</v>
      </c>
      <c r="F9" s="13">
        <v>580</v>
      </c>
      <c r="G9" s="13">
        <f t="shared" si="1"/>
        <v>900</v>
      </c>
      <c r="H9" s="19" t="str">
        <f t="shared" si="2"/>
        <v>A</v>
      </c>
      <c r="I9" s="19" t="str">
        <f t="shared" si="3"/>
        <v>B</v>
      </c>
    </row>
    <row r="10" spans="1:9">
      <c r="A10" s="20">
        <v>84080</v>
      </c>
      <c r="B10" s="13" t="s">
        <v>127</v>
      </c>
      <c r="C10" s="19">
        <v>10</v>
      </c>
      <c r="D10" s="13" t="str">
        <f t="shared" si="0"/>
        <v>東北支店</v>
      </c>
      <c r="E10" s="13">
        <v>490</v>
      </c>
      <c r="F10" s="13">
        <v>450</v>
      </c>
      <c r="G10" s="13">
        <f t="shared" si="1"/>
        <v>940</v>
      </c>
      <c r="H10" s="19" t="str">
        <f t="shared" si="2"/>
        <v>A</v>
      </c>
      <c r="I10" s="19" t="str">
        <f t="shared" si="3"/>
        <v>A</v>
      </c>
    </row>
    <row r="11" spans="1:9">
      <c r="A11" s="20">
        <v>85012</v>
      </c>
      <c r="B11" s="13" t="s">
        <v>128</v>
      </c>
      <c r="C11" s="19">
        <v>40</v>
      </c>
      <c r="D11" s="13" t="str">
        <f t="shared" si="0"/>
        <v>関西支店</v>
      </c>
      <c r="E11" s="13">
        <v>310</v>
      </c>
      <c r="F11" s="13">
        <v>510</v>
      </c>
      <c r="G11" s="13">
        <f t="shared" si="1"/>
        <v>820</v>
      </c>
      <c r="H11" s="19" t="str">
        <f t="shared" si="2"/>
        <v>A</v>
      </c>
      <c r="I11" s="19" t="str">
        <f t="shared" si="3"/>
        <v>B</v>
      </c>
    </row>
    <row r="12" spans="1:9">
      <c r="A12" s="20">
        <v>88061</v>
      </c>
      <c r="B12" s="13" t="s">
        <v>129</v>
      </c>
      <c r="C12" s="19">
        <v>50</v>
      </c>
      <c r="D12" s="13" t="str">
        <f t="shared" si="0"/>
        <v>中四国支店</v>
      </c>
      <c r="E12" s="13">
        <v>380</v>
      </c>
      <c r="F12" s="13">
        <v>310</v>
      </c>
      <c r="G12" s="13">
        <f t="shared" si="1"/>
        <v>690</v>
      </c>
      <c r="H12" s="19" t="str">
        <f t="shared" si="2"/>
        <v>B</v>
      </c>
      <c r="I12" s="19" t="str">
        <f t="shared" si="3"/>
        <v>B</v>
      </c>
    </row>
    <row r="13" spans="1:9">
      <c r="A13" s="20">
        <v>94083</v>
      </c>
      <c r="B13" s="13" t="s">
        <v>130</v>
      </c>
      <c r="C13" s="19">
        <v>20</v>
      </c>
      <c r="D13" s="13" t="str">
        <f t="shared" si="0"/>
        <v>関東支店</v>
      </c>
      <c r="E13" s="13">
        <v>490</v>
      </c>
      <c r="F13" s="13">
        <v>410</v>
      </c>
      <c r="G13" s="13">
        <f t="shared" si="1"/>
        <v>900</v>
      </c>
      <c r="H13" s="19" t="str">
        <f t="shared" si="2"/>
        <v>A</v>
      </c>
      <c r="I13" s="19" t="str">
        <f t="shared" si="3"/>
        <v>A</v>
      </c>
    </row>
    <row r="14" spans="1:9">
      <c r="A14" s="20">
        <v>95032</v>
      </c>
      <c r="B14" s="13" t="s">
        <v>131</v>
      </c>
      <c r="C14" s="19">
        <v>60</v>
      </c>
      <c r="D14" s="13" t="str">
        <f t="shared" si="0"/>
        <v>九州支店</v>
      </c>
      <c r="E14" s="13">
        <v>620</v>
      </c>
      <c r="F14" s="13">
        <v>270</v>
      </c>
      <c r="G14" s="13">
        <f t="shared" si="1"/>
        <v>890</v>
      </c>
      <c r="H14" s="19" t="str">
        <f t="shared" si="2"/>
        <v>A</v>
      </c>
      <c r="I14" s="19" t="str">
        <f t="shared" si="3"/>
        <v>B</v>
      </c>
    </row>
    <row r="15" spans="1:9">
      <c r="A15" s="20">
        <v>97590</v>
      </c>
      <c r="B15" s="13" t="s">
        <v>132</v>
      </c>
      <c r="C15" s="19">
        <v>30</v>
      </c>
      <c r="D15" s="13" t="str">
        <f t="shared" si="0"/>
        <v>東海支店</v>
      </c>
      <c r="E15" s="13">
        <v>350</v>
      </c>
      <c r="F15" s="13">
        <v>320</v>
      </c>
      <c r="G15" s="13">
        <f t="shared" si="1"/>
        <v>670</v>
      </c>
      <c r="H15" s="19" t="str">
        <f t="shared" si="2"/>
        <v>B</v>
      </c>
      <c r="I15" s="19" t="str">
        <f t="shared" si="3"/>
        <v>B</v>
      </c>
    </row>
    <row r="16" spans="1:9">
      <c r="A16" s="20">
        <v>98870</v>
      </c>
      <c r="B16" s="13" t="s">
        <v>133</v>
      </c>
      <c r="C16" s="19">
        <v>40</v>
      </c>
      <c r="D16" s="13" t="str">
        <f t="shared" si="0"/>
        <v>関西支店</v>
      </c>
      <c r="E16" s="13">
        <v>400</v>
      </c>
      <c r="F16" s="13">
        <v>390</v>
      </c>
      <c r="G16" s="13">
        <f t="shared" si="1"/>
        <v>790</v>
      </c>
      <c r="H16" s="19" t="str">
        <f t="shared" si="2"/>
        <v>A</v>
      </c>
      <c r="I16" s="19" t="str">
        <f t="shared" si="3"/>
        <v>A</v>
      </c>
    </row>
    <row r="17" spans="1:9">
      <c r="A17" s="18">
        <v>11325</v>
      </c>
      <c r="B17" s="13" t="s">
        <v>134</v>
      </c>
      <c r="C17" s="19">
        <v>20</v>
      </c>
      <c r="D17" s="13" t="str">
        <f t="shared" si="0"/>
        <v>関東支店</v>
      </c>
      <c r="E17" s="13">
        <v>230</v>
      </c>
      <c r="F17" s="13">
        <v>410</v>
      </c>
      <c r="G17" s="13">
        <f t="shared" si="1"/>
        <v>640</v>
      </c>
      <c r="H17" s="19" t="str">
        <f t="shared" si="2"/>
        <v>B</v>
      </c>
      <c r="I17" s="19" t="str">
        <f t="shared" si="3"/>
        <v>B</v>
      </c>
    </row>
    <row r="18" spans="1:9">
      <c r="A18" s="18">
        <v>10197</v>
      </c>
      <c r="B18" s="13" t="s">
        <v>135</v>
      </c>
      <c r="C18" s="19">
        <v>10</v>
      </c>
      <c r="D18" s="13" t="str">
        <f t="shared" si="0"/>
        <v>東北支店</v>
      </c>
      <c r="E18" s="13">
        <v>340</v>
      </c>
      <c r="F18" s="13">
        <v>360</v>
      </c>
      <c r="G18" s="13">
        <f t="shared" si="1"/>
        <v>700</v>
      </c>
      <c r="H18" s="19" t="str">
        <f t="shared" si="2"/>
        <v>A</v>
      </c>
      <c r="I18" s="19" t="str">
        <f t="shared" si="3"/>
        <v>B</v>
      </c>
    </row>
    <row r="19" spans="1:9">
      <c r="A19" s="18">
        <v>10253</v>
      </c>
      <c r="B19" s="13" t="s">
        <v>136</v>
      </c>
      <c r="C19" s="19">
        <v>40</v>
      </c>
      <c r="D19" s="13" t="str">
        <f t="shared" si="0"/>
        <v>関西支店</v>
      </c>
      <c r="E19" s="13">
        <v>160</v>
      </c>
      <c r="F19" s="13">
        <v>260</v>
      </c>
      <c r="G19" s="13">
        <f t="shared" si="1"/>
        <v>420</v>
      </c>
      <c r="H19" s="19" t="str">
        <f t="shared" si="2"/>
        <v>B</v>
      </c>
      <c r="I19" s="19" t="str">
        <f t="shared" si="3"/>
        <v>B</v>
      </c>
    </row>
    <row r="20" spans="1:9">
      <c r="C20" s="21" t="s">
        <v>137</v>
      </c>
      <c r="F20" s="22" t="s">
        <v>138</v>
      </c>
      <c r="G20" s="8"/>
      <c r="H20" s="8"/>
      <c r="I20" s="8"/>
    </row>
    <row r="21" spans="1:9">
      <c r="C21" s="15" t="s">
        <v>113</v>
      </c>
      <c r="D21" s="16" t="s">
        <v>114</v>
      </c>
      <c r="F21" s="23"/>
      <c r="G21" s="24" t="s">
        <v>139</v>
      </c>
      <c r="H21" s="25"/>
      <c r="I21" s="16" t="s">
        <v>140</v>
      </c>
    </row>
    <row r="22" spans="1:9">
      <c r="C22" s="19">
        <v>10</v>
      </c>
      <c r="D22" s="13" t="s">
        <v>141</v>
      </c>
      <c r="F22" s="26"/>
      <c r="G22" s="27" t="s">
        <v>142</v>
      </c>
      <c r="H22" s="28">
        <v>400</v>
      </c>
      <c r="I22" s="13">
        <f>売上評価!G15</f>
        <v>670</v>
      </c>
    </row>
    <row r="23" spans="1:9">
      <c r="C23" s="19">
        <v>20</v>
      </c>
      <c r="D23" s="13" t="s">
        <v>143</v>
      </c>
      <c r="F23" s="26">
        <v>401</v>
      </c>
      <c r="G23" s="27" t="s">
        <v>142</v>
      </c>
      <c r="H23" s="28">
        <v>500</v>
      </c>
      <c r="I23" s="13"/>
    </row>
    <row r="24" spans="1:9">
      <c r="C24" s="19">
        <v>30</v>
      </c>
      <c r="D24" s="13" t="s">
        <v>144</v>
      </c>
      <c r="F24" s="26">
        <v>501</v>
      </c>
      <c r="G24" s="27" t="s">
        <v>142</v>
      </c>
      <c r="H24" s="28">
        <v>600</v>
      </c>
      <c r="I24" s="13"/>
    </row>
    <row r="25" spans="1:9">
      <c r="C25" s="19">
        <v>40</v>
      </c>
      <c r="D25" s="13" t="s">
        <v>145</v>
      </c>
      <c r="F25" s="26">
        <v>601</v>
      </c>
      <c r="G25" s="27" t="s">
        <v>142</v>
      </c>
      <c r="H25" s="28">
        <v>700</v>
      </c>
      <c r="I25" s="13"/>
    </row>
    <row r="26" spans="1:9">
      <c r="C26" s="19">
        <v>50</v>
      </c>
      <c r="D26" s="13" t="s">
        <v>146</v>
      </c>
      <c r="F26" s="26">
        <v>701</v>
      </c>
      <c r="G26" s="27" t="s">
        <v>142</v>
      </c>
      <c r="H26" s="28">
        <v>800</v>
      </c>
      <c r="I26" s="13"/>
    </row>
    <row r="27" spans="1:9">
      <c r="C27" s="19">
        <v>60</v>
      </c>
      <c r="D27" s="13" t="s">
        <v>147</v>
      </c>
      <c r="F27" s="26">
        <v>801</v>
      </c>
      <c r="G27" s="27" t="s">
        <v>142</v>
      </c>
      <c r="H27" s="28"/>
      <c r="I27" s="13"/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5"/>
  <sheetViews>
    <sheetView topLeftCell="A4" workbookViewId="0">
      <selection activeCell="G8" sqref="G8"/>
    </sheetView>
  </sheetViews>
  <sheetFormatPr defaultRowHeight="18"/>
  <cols>
    <col min="2" max="2" width="11.59765625" customWidth="1"/>
    <col min="3" max="5" width="11" customWidth="1"/>
    <col min="6" max="6" width="9.5" bestFit="1" customWidth="1"/>
    <col min="9" max="9" width="9.69921875" bestFit="1" customWidth="1"/>
    <col min="10" max="10" width="11.5" bestFit="1" customWidth="1"/>
  </cols>
  <sheetData>
    <row r="2" spans="2:10" ht="19.2">
      <c r="B2" s="76" t="s">
        <v>148</v>
      </c>
      <c r="C2" s="76"/>
      <c r="D2" s="76"/>
      <c r="E2" s="76"/>
      <c r="F2" s="76"/>
      <c r="G2" s="76"/>
      <c r="H2" s="76"/>
      <c r="I2" s="76"/>
      <c r="J2" s="76"/>
    </row>
    <row r="3" spans="2:10" ht="18.600000000000001" thickBot="1"/>
    <row r="4" spans="2:10" ht="18.600000000000001" thickBot="1">
      <c r="B4" s="29"/>
      <c r="C4" s="30" t="s">
        <v>149</v>
      </c>
      <c r="D4" s="31" t="s">
        <v>150</v>
      </c>
      <c r="E4" s="32" t="s">
        <v>151</v>
      </c>
      <c r="F4" s="33" t="s">
        <v>152</v>
      </c>
      <c r="G4" s="34" t="s">
        <v>153</v>
      </c>
      <c r="H4" s="35" t="s">
        <v>154</v>
      </c>
      <c r="I4" s="36" t="s">
        <v>155</v>
      </c>
      <c r="J4" s="37" t="s">
        <v>156</v>
      </c>
    </row>
    <row r="5" spans="2:10" ht="18.600000000000001" thickBot="1">
      <c r="B5" s="38" t="s">
        <v>157</v>
      </c>
      <c r="C5" s="39">
        <v>58</v>
      </c>
      <c r="D5" s="40">
        <v>38</v>
      </c>
      <c r="E5" s="41">
        <v>67</v>
      </c>
      <c r="F5" s="51">
        <f t="shared" ref="F5:F14" si="0">SUM(C5:E5)</f>
        <v>163</v>
      </c>
      <c r="G5" s="73">
        <f>TRUNC(F5/COUNT(C5:E5),1)</f>
        <v>54.3</v>
      </c>
      <c r="H5" s="42" t="str">
        <f t="shared" ref="H5:H14" si="1">IF(F5&gt;=100,"合格","不合格")</f>
        <v>合格</v>
      </c>
      <c r="I5" s="39" t="str">
        <f>IF(F5&gt;=230,"優",IF(F5&gt;=100,"良","不可"))</f>
        <v>良</v>
      </c>
      <c r="J5" s="43" t="str">
        <f>IF(G5&gt;=81,"5",IF(G5&gt;=70,"4",IF(G5&gt;=56,"3",IF(G5&gt;=46,"2","1"))))</f>
        <v>2</v>
      </c>
    </row>
    <row r="6" spans="2:10" ht="18.600000000000001" thickBot="1">
      <c r="B6" s="44" t="s">
        <v>158</v>
      </c>
      <c r="C6" s="45">
        <v>69</v>
      </c>
      <c r="D6" s="46">
        <v>46</v>
      </c>
      <c r="E6" s="45" t="s">
        <v>159</v>
      </c>
      <c r="F6" s="51">
        <f t="shared" si="0"/>
        <v>115</v>
      </c>
      <c r="G6" s="73">
        <f t="shared" ref="G6:G14" si="2">TRUNC(F6/COUNT(C6:E6),1)</f>
        <v>57.5</v>
      </c>
      <c r="H6" s="42" t="str">
        <f t="shared" si="1"/>
        <v>合格</v>
      </c>
      <c r="I6" s="39" t="str">
        <f t="shared" ref="I6:I14" si="3">IF(F6&gt;=230,"優",IF(F6&gt;=100,"良","不可"))</f>
        <v>良</v>
      </c>
      <c r="J6" s="43" t="str">
        <f t="shared" ref="J6:J14" si="4">IF(G6&gt;=81,"5",IF(G6&gt;=70,"4",IF(G6&gt;=56,"3",IF(G6&gt;=46,"2","1"))))</f>
        <v>3</v>
      </c>
    </row>
    <row r="7" spans="2:10" ht="18.600000000000001" thickBot="1">
      <c r="B7" s="44" t="s">
        <v>160</v>
      </c>
      <c r="C7" s="45">
        <v>43</v>
      </c>
      <c r="D7" s="46">
        <v>20</v>
      </c>
      <c r="E7" s="47">
        <v>76</v>
      </c>
      <c r="F7" s="51">
        <f t="shared" si="0"/>
        <v>139</v>
      </c>
      <c r="G7" s="73">
        <f t="shared" si="2"/>
        <v>46.3</v>
      </c>
      <c r="H7" s="42" t="str">
        <f t="shared" si="1"/>
        <v>合格</v>
      </c>
      <c r="I7" s="39" t="str">
        <f t="shared" si="3"/>
        <v>良</v>
      </c>
      <c r="J7" s="43" t="str">
        <f t="shared" si="4"/>
        <v>2</v>
      </c>
    </row>
    <row r="8" spans="2:10" ht="18.600000000000001" thickBot="1">
      <c r="B8" s="44" t="s">
        <v>161</v>
      </c>
      <c r="C8" s="45">
        <v>76</v>
      </c>
      <c r="D8" s="46">
        <v>88</v>
      </c>
      <c r="E8" s="47">
        <v>61</v>
      </c>
      <c r="F8" s="51">
        <f t="shared" si="0"/>
        <v>225</v>
      </c>
      <c r="G8" s="73">
        <f t="shared" si="2"/>
        <v>75</v>
      </c>
      <c r="H8" s="42" t="str">
        <f t="shared" si="1"/>
        <v>合格</v>
      </c>
      <c r="I8" s="39" t="str">
        <f t="shared" si="3"/>
        <v>良</v>
      </c>
      <c r="J8" s="43" t="str">
        <f t="shared" si="4"/>
        <v>4</v>
      </c>
    </row>
    <row r="9" spans="2:10" ht="18.600000000000001" thickBot="1">
      <c r="B9" s="44" t="s">
        <v>162</v>
      </c>
      <c r="C9" s="45" t="s">
        <v>159</v>
      </c>
      <c r="D9" s="46">
        <v>30</v>
      </c>
      <c r="E9" s="47">
        <v>65</v>
      </c>
      <c r="F9" s="51">
        <f t="shared" si="0"/>
        <v>95</v>
      </c>
      <c r="G9" s="73">
        <f t="shared" si="2"/>
        <v>47.5</v>
      </c>
      <c r="H9" s="42" t="str">
        <f t="shared" si="1"/>
        <v>不合格</v>
      </c>
      <c r="I9" s="39" t="str">
        <f t="shared" si="3"/>
        <v>不可</v>
      </c>
      <c r="J9" s="43" t="str">
        <f t="shared" si="4"/>
        <v>2</v>
      </c>
    </row>
    <row r="10" spans="2:10" ht="18.600000000000001" thickBot="1">
      <c r="B10" s="44" t="s">
        <v>163</v>
      </c>
      <c r="C10" s="45">
        <v>65</v>
      </c>
      <c r="D10" s="46">
        <v>48</v>
      </c>
      <c r="E10" s="47">
        <v>52</v>
      </c>
      <c r="F10" s="51">
        <f t="shared" si="0"/>
        <v>165</v>
      </c>
      <c r="G10" s="73">
        <f t="shared" si="2"/>
        <v>55</v>
      </c>
      <c r="H10" s="42" t="str">
        <f t="shared" si="1"/>
        <v>合格</v>
      </c>
      <c r="I10" s="39" t="str">
        <f t="shared" si="3"/>
        <v>良</v>
      </c>
      <c r="J10" s="43" t="str">
        <f t="shared" si="4"/>
        <v>2</v>
      </c>
    </row>
    <row r="11" spans="2:10" ht="18.600000000000001" thickBot="1">
      <c r="B11" s="44" t="s">
        <v>164</v>
      </c>
      <c r="C11" s="45">
        <v>45</v>
      </c>
      <c r="D11" s="45" t="s">
        <v>159</v>
      </c>
      <c r="E11" s="47">
        <v>74</v>
      </c>
      <c r="F11" s="51">
        <f t="shared" si="0"/>
        <v>119</v>
      </c>
      <c r="G11" s="73">
        <f t="shared" si="2"/>
        <v>59.5</v>
      </c>
      <c r="H11" s="42" t="str">
        <f t="shared" si="1"/>
        <v>合格</v>
      </c>
      <c r="I11" s="39" t="str">
        <f t="shared" si="3"/>
        <v>良</v>
      </c>
      <c r="J11" s="43" t="str">
        <f t="shared" si="4"/>
        <v>3</v>
      </c>
    </row>
    <row r="12" spans="2:10" ht="18.600000000000001" thickBot="1">
      <c r="B12" s="44" t="s">
        <v>165</v>
      </c>
      <c r="C12" s="45">
        <v>81</v>
      </c>
      <c r="D12" s="46">
        <v>86</v>
      </c>
      <c r="E12" s="47">
        <v>71</v>
      </c>
      <c r="F12" s="51">
        <f t="shared" si="0"/>
        <v>238</v>
      </c>
      <c r="G12" s="73">
        <f t="shared" si="2"/>
        <v>79.3</v>
      </c>
      <c r="H12" s="42" t="str">
        <f t="shared" si="1"/>
        <v>合格</v>
      </c>
      <c r="I12" s="39" t="str">
        <f t="shared" si="3"/>
        <v>優</v>
      </c>
      <c r="J12" s="43" t="str">
        <f t="shared" si="4"/>
        <v>4</v>
      </c>
    </row>
    <row r="13" spans="2:10" ht="18.600000000000001" thickBot="1">
      <c r="B13" s="44" t="s">
        <v>166</v>
      </c>
      <c r="C13" s="45">
        <v>87</v>
      </c>
      <c r="D13" s="46">
        <v>92</v>
      </c>
      <c r="E13" s="47">
        <v>80</v>
      </c>
      <c r="F13" s="51">
        <f t="shared" si="0"/>
        <v>259</v>
      </c>
      <c r="G13" s="73">
        <f t="shared" si="2"/>
        <v>86.3</v>
      </c>
      <c r="H13" s="42" t="str">
        <f t="shared" si="1"/>
        <v>合格</v>
      </c>
      <c r="I13" s="39" t="str">
        <f t="shared" si="3"/>
        <v>優</v>
      </c>
      <c r="J13" s="43" t="str">
        <f t="shared" si="4"/>
        <v>5</v>
      </c>
    </row>
    <row r="14" spans="2:10" ht="18.600000000000001" thickBot="1">
      <c r="B14" s="48" t="s">
        <v>167</v>
      </c>
      <c r="C14" s="49">
        <v>38</v>
      </c>
      <c r="D14" s="45" t="s">
        <v>159</v>
      </c>
      <c r="E14" s="50">
        <v>59</v>
      </c>
      <c r="F14" s="51">
        <f t="shared" si="0"/>
        <v>97</v>
      </c>
      <c r="G14" s="73">
        <f t="shared" si="2"/>
        <v>48.5</v>
      </c>
      <c r="H14" s="42" t="str">
        <f t="shared" si="1"/>
        <v>不合格</v>
      </c>
      <c r="I14" s="39" t="str">
        <f t="shared" si="3"/>
        <v>不可</v>
      </c>
      <c r="J14" s="43" t="str">
        <f t="shared" si="4"/>
        <v>2</v>
      </c>
    </row>
    <row r="15" spans="2:10">
      <c r="B15" s="53" t="s">
        <v>152</v>
      </c>
      <c r="C15" s="54">
        <f>SUM(C5:C14)</f>
        <v>562</v>
      </c>
      <c r="D15" s="54">
        <f>SUM(D5:D14)</f>
        <v>448</v>
      </c>
      <c r="E15" s="54">
        <f>SUM(E5:E14)</f>
        <v>605</v>
      </c>
      <c r="F15" s="55"/>
      <c r="G15" s="55"/>
      <c r="H15" s="55"/>
    </row>
    <row r="16" spans="2:10">
      <c r="B16" s="56" t="s">
        <v>153</v>
      </c>
      <c r="C16" s="46">
        <f t="shared" ref="C16:D16" si="5">TRUNC(C15/COUNT(C5:C14),1)</f>
        <v>62.4</v>
      </c>
      <c r="D16" s="46">
        <f t="shared" si="5"/>
        <v>56</v>
      </c>
      <c r="E16" s="46">
        <f>TRUNC(E15/COUNT(E5:E14),1)</f>
        <v>67.2</v>
      </c>
      <c r="F16" s="57"/>
      <c r="G16" s="57"/>
      <c r="H16" s="57"/>
    </row>
    <row r="17" spans="2:9">
      <c r="B17" s="56" t="s">
        <v>168</v>
      </c>
      <c r="C17" s="46">
        <f>MAX(C5:C14)</f>
        <v>87</v>
      </c>
      <c r="D17" s="46">
        <f t="shared" ref="D17:E17" si="6">MAX(D5:D14)</f>
        <v>92</v>
      </c>
      <c r="E17" s="46">
        <f t="shared" si="6"/>
        <v>80</v>
      </c>
      <c r="F17" s="57"/>
      <c r="G17" s="57"/>
      <c r="H17" s="57"/>
    </row>
    <row r="18" spans="2:9">
      <c r="B18" s="56" t="s">
        <v>169</v>
      </c>
      <c r="C18" s="46">
        <f>MIN(C5:C14)</f>
        <v>38</v>
      </c>
      <c r="D18" s="46">
        <f t="shared" ref="D18:E18" si="7">MIN(D5:D14)</f>
        <v>20</v>
      </c>
      <c r="E18" s="46">
        <f t="shared" si="7"/>
        <v>52</v>
      </c>
      <c r="F18" s="57"/>
      <c r="G18" s="57"/>
      <c r="H18" s="57"/>
    </row>
    <row r="19" spans="2:9" ht="18.600000000000001" thickBot="1">
      <c r="B19" s="58" t="s">
        <v>170</v>
      </c>
      <c r="C19" s="52">
        <f>COUNT(C5:C14)</f>
        <v>9</v>
      </c>
      <c r="D19" s="52">
        <f>COUNT(D5:D14)</f>
        <v>8</v>
      </c>
      <c r="E19" s="52">
        <f>COUNT(E5:E14)</f>
        <v>9</v>
      </c>
      <c r="F19" s="57"/>
      <c r="G19" s="57"/>
      <c r="H19" s="57"/>
    </row>
    <row r="20" spans="2:9">
      <c r="B20" s="59"/>
      <c r="C20" s="59"/>
      <c r="D20" s="60"/>
      <c r="E20" s="59"/>
      <c r="F20" s="59"/>
    </row>
    <row r="21" spans="2:9" ht="18.600000000000001" thickBot="1">
      <c r="B21" s="59"/>
      <c r="E21" s="59"/>
      <c r="F21" s="60"/>
    </row>
    <row r="22" spans="2:9" ht="18.600000000000001" thickBot="1">
      <c r="B22" s="59"/>
      <c r="C22" s="59"/>
      <c r="D22" s="61" t="s">
        <v>171</v>
      </c>
      <c r="E22" s="59"/>
      <c r="F22" s="77"/>
      <c r="G22" s="77"/>
      <c r="H22" s="62"/>
      <c r="I22" s="63" t="s">
        <v>171</v>
      </c>
    </row>
    <row r="23" spans="2:9" ht="18.600000000000001" thickBot="1">
      <c r="C23" s="64" t="s">
        <v>172</v>
      </c>
      <c r="D23" s="65">
        <f>COUNTIF($H$5:$H$14,C23)</f>
        <v>8</v>
      </c>
      <c r="F23" s="78" t="s">
        <v>173</v>
      </c>
      <c r="G23" s="79"/>
      <c r="H23" s="66"/>
      <c r="I23" s="67">
        <f>COUNTIF($H$5:$H$14,C24)</f>
        <v>2</v>
      </c>
    </row>
    <row r="24" spans="2:9" ht="18.600000000000001" thickBot="1">
      <c r="C24" s="68" t="s">
        <v>174</v>
      </c>
      <c r="D24" s="65">
        <f>COUNTIF($H$5:$H$14,C24)</f>
        <v>2</v>
      </c>
      <c r="F24" s="80" t="s">
        <v>175</v>
      </c>
      <c r="G24" s="81"/>
      <c r="H24" s="69"/>
      <c r="I24" s="67">
        <f>COUNTIF($H$5:$H$14,$C$23)</f>
        <v>8</v>
      </c>
    </row>
    <row r="25" spans="2:9">
      <c r="C25" s="59"/>
      <c r="D25" s="60"/>
      <c r="E25" s="70"/>
      <c r="F25" s="71"/>
      <c r="G25" s="71"/>
      <c r="H25" s="71"/>
      <c r="I25" s="72"/>
    </row>
  </sheetData>
  <mergeCells count="4">
    <mergeCell ref="B2:J2"/>
    <mergeCell ref="F22:G22"/>
    <mergeCell ref="F23:G23"/>
    <mergeCell ref="F24:G24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Iパス</vt:lpstr>
      <vt:lpstr>相対参照</vt:lpstr>
      <vt:lpstr>絶対参照</vt:lpstr>
      <vt:lpstr>絶対参照Iパス</vt:lpstr>
      <vt:lpstr>参照と関数のIパス</vt:lpstr>
      <vt:lpstr>条件分岐</vt:lpstr>
      <vt:lpstr>会員数</vt:lpstr>
      <vt:lpstr>売上評価</vt:lpstr>
      <vt:lpstr>演習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フハハハハハ</dc:title>
  <dc:creator>とりてんどん</dc:creator>
  <cp:lastModifiedBy>is221042</cp:lastModifiedBy>
  <cp:lastPrinted>2021-05-06T10:22:25Z</cp:lastPrinted>
  <dcterms:created xsi:type="dcterms:W3CDTF">2021-05-05T09:30:35Z</dcterms:created>
  <dcterms:modified xsi:type="dcterms:W3CDTF">2022-05-20T07:25:10Z</dcterms:modified>
</cp:coreProperties>
</file>